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AutoSheets\"/>
    </mc:Choice>
  </mc:AlternateContent>
  <xr:revisionPtr revIDLastSave="0" documentId="13_ncr:1_{E7E1C1FD-392E-4058-B93A-CEF08E99AAA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 1" sheetId="1" r:id="rId1"/>
    <sheet name="RTD" sheetId="2" r:id="rId2"/>
    <sheet name="{Settings}" sheetId="3" r:id="rId3"/>
  </sheets>
  <functionGroups builtInGroupCount="19"/>
  <definedNames>
    <definedName name="Settings_Wait">'{Settings}'!$B$1</definedName>
    <definedName name="Test_AppRun">'Test 1'!$B$110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1'!$B$69</definedName>
    <definedName name="Test_Date">'Test 1'!$B$73</definedName>
    <definedName name="Test_DateConversion">'Test 1'!$B$88</definedName>
    <definedName name="Test_DynamicRegistration">'Test 1'!$B$94</definedName>
    <definedName name="Test_ExcelCall">'Test 1'!$B$99</definedName>
    <definedName name="Test_ExternalLoad">'Test 1'!$B$84</definedName>
    <definedName name="Test_GetFormula">'Test 1'!$B$105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1'!$B$75</definedName>
    <definedName name="Test_WorkbooksObject">'Test 1'!$B$97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" l="1"/>
  <c r="C36" i="1"/>
  <c r="D19" i="2"/>
  <c r="C19" i="2"/>
  <c r="C20" i="2" s="1"/>
  <c r="C7" i="2"/>
  <c r="C6" i="2"/>
  <c r="C109" i="1"/>
  <c r="C102" i="1"/>
  <c r="D32" i="1" a="1"/>
  <c r="D7" i="2"/>
  <c r="D36" i="1" a="1"/>
  <c r="D9" i="2"/>
  <c r="D102" i="1"/>
  <c r="D29" i="1"/>
  <c r="D103" i="1"/>
  <c r="D104" i="1"/>
  <c r="D6" i="2"/>
  <c r="D20" i="2"/>
  <c r="D37" i="1" a="1"/>
  <c r="D11" i="2"/>
  <c r="D1" i="2"/>
  <c r="D12" i="2"/>
  <c r="D84" i="1" a="1"/>
  <c r="D32" i="1" l="1"/>
  <c r="D33" i="1"/>
  <c r="E32" i="1"/>
  <c r="E33" i="1"/>
  <c r="D37" i="1"/>
  <c r="B37" i="1" s="1"/>
  <c r="D36" i="1"/>
  <c r="B36" i="1" s="1"/>
  <c r="B38" i="1" s="1"/>
  <c r="D84" i="1"/>
  <c r="B20" i="2"/>
  <c r="B19" i="2"/>
  <c r="B12" i="2"/>
  <c r="B102" i="1"/>
  <c r="B11" i="2"/>
  <c r="C17" i="2"/>
  <c r="C15" i="2"/>
  <c r="C16" i="2"/>
  <c r="B9" i="2" l="1"/>
  <c r="B4" i="1"/>
  <c r="D109" i="1"/>
  <c r="B7" i="2" l="1"/>
  <c r="B6" i="2"/>
  <c r="C103" i="1"/>
  <c r="C104" i="1" s="1"/>
  <c r="D108" i="1"/>
  <c r="D95" i="1"/>
  <c r="D99" i="1"/>
  <c r="D107" i="1"/>
  <c r="C97" i="1"/>
  <c r="D14" i="1"/>
  <c r="D94" i="1"/>
  <c r="D97" i="1"/>
  <c r="B3" i="2" l="1"/>
  <c r="B5" i="1" s="1"/>
  <c r="B109" i="1"/>
  <c r="C107" i="1"/>
  <c r="B107" i="1" s="1"/>
  <c r="B108" i="1"/>
  <c r="B104" i="1"/>
  <c r="B103" i="1"/>
  <c r="B99" i="1"/>
  <c r="B97" i="1"/>
  <c r="B94" i="1"/>
  <c r="C41" i="1"/>
  <c r="C49" i="1"/>
  <c r="D41" i="1"/>
  <c r="B110" i="1" l="1"/>
  <c r="B105" i="1"/>
  <c r="B41" i="1"/>
  <c r="H89" i="1"/>
  <c r="F89" i="1"/>
  <c r="D88" i="1" a="1"/>
  <c r="D90" i="1" l="1"/>
  <c r="D91" i="1"/>
  <c r="D92" i="1"/>
  <c r="D88" i="1"/>
  <c r="D89" i="1"/>
  <c r="B88" i="1" l="1"/>
  <c r="B33" i="1"/>
  <c r="B32" i="1"/>
  <c r="E78" i="1"/>
  <c r="F78" i="1" s="1"/>
  <c r="G77" i="1"/>
  <c r="F77" i="1"/>
  <c r="B34" i="1" l="1"/>
  <c r="E79" i="1"/>
  <c r="F79" i="1" s="1"/>
  <c r="G78" i="1"/>
  <c r="G79" i="1" l="1"/>
  <c r="E80" i="1"/>
  <c r="D49" i="1"/>
  <c r="B49" i="1" l="1"/>
  <c r="F80" i="1"/>
  <c r="F81" i="1" s="1"/>
  <c r="G80" i="1"/>
  <c r="G81" i="1" s="1"/>
  <c r="C71" i="1"/>
  <c r="E81" i="1"/>
  <c r="D11" i="1"/>
  <c r="D72" i="1"/>
  <c r="B75" i="1" l="1"/>
  <c r="B72" i="1"/>
  <c r="D8" i="1"/>
  <c r="D71" i="1"/>
  <c r="B71" i="1" l="1"/>
  <c r="B73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18" i="1"/>
  <c r="D16" i="1"/>
  <c r="J56" i="1"/>
  <c r="G40" i="1"/>
  <c r="D53" i="1"/>
  <c r="D52" i="1"/>
  <c r="D17" i="1"/>
  <c r="D9" i="1"/>
  <c r="D15" i="1"/>
  <c r="D27" i="1"/>
  <c r="D22" i="1"/>
  <c r="C11" i="1"/>
  <c r="D10" i="1"/>
  <c r="J59" i="1"/>
  <c r="D47" i="1"/>
  <c r="D23" i="1"/>
  <c r="D45" i="1"/>
  <c r="D19" i="1"/>
  <c r="D28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40" i="1"/>
  <c r="D63" i="1" a="1"/>
  <c r="D67" i="1" a="1"/>
  <c r="D56" i="1"/>
  <c r="D59" i="1"/>
  <c r="D60" i="1" a="1"/>
  <c r="B54" i="1" l="1"/>
  <c r="B30" i="1"/>
  <c r="B24" i="1"/>
  <c r="B20" i="1"/>
  <c r="B12" i="1"/>
  <c r="F67" i="1"/>
  <c r="E68" i="1"/>
  <c r="F68" i="1"/>
  <c r="E67" i="1"/>
  <c r="D68" i="1"/>
  <c r="D67" i="1"/>
  <c r="F64" i="1"/>
  <c r="D65" i="1"/>
  <c r="D64" i="1"/>
  <c r="D63" i="1"/>
  <c r="F63" i="1"/>
  <c r="E64" i="1"/>
  <c r="F65" i="1"/>
  <c r="E63" i="1"/>
  <c r="E65" i="1"/>
  <c r="B56" i="1"/>
  <c r="D60" i="1"/>
  <c r="B60" i="1" s="1"/>
  <c r="D61" i="1"/>
  <c r="B61" i="1" s="1"/>
  <c r="B59" i="1"/>
  <c r="B40" i="1"/>
  <c r="B42" i="1" s="1"/>
  <c r="B67" i="1" l="1" a="1"/>
  <c r="B67" i="1" s="1"/>
  <c r="B63" i="1" a="1"/>
  <c r="B63" i="1" s="1"/>
  <c r="B69" i="1" l="1"/>
  <c r="D85" i="1"/>
  <c r="B84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<sst xmlns="http://schemas.openxmlformats.org/spreadsheetml/2006/main" count="99" uniqueCount="82">
  <si>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</si>
  <si>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</si>
  <si>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</si>
  <si>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</si>
  <si>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</si>
  <si>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</si>
  <si>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</si>
  <si>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</si>
  <si>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</si>
  <si>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</si>
  <si>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</si>
  <si>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</si>
  <si>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</si>
  <si>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</si>
  <si>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</si>
  <si>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</si>
  <si>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</si>
  <si>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</si>
  <si>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</si>
  <si>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</si>
  <si>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</si>
  <si>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</si>
  <si>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</si>
  <si>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</si>
  <si>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</si>
  <si>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</si>
  <si>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</si>
  <si>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</si>
  <si>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</si>
  <si>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</si>
  <si>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</si>
  <si>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</si>
  <si>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</si>
  <si>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</si>
  <si>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</si>
  <si>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</si>
  <si>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</si>
  <si>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</si>
  <si>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</si>
  <si>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</si>
  <si>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</si>
  <si>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</si>
  <si>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</si>
  <si>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</si>
  <si>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</si>
  <si>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</si>
  <si>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</si>
  <si>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</si>
  <si>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</si>
  <si>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</si>
  <si>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</si>
  <si>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</si>
  <si>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</si>
  <si>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</si>
  <si>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</si>
  <si>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</si>
  <si>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</si>
  <si>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</si>
  <si>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</si>
  <si>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</si>
  <si>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</si>
  <si>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</si>
  <si>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</si>
  <si>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</si>
  <si>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</si>
  <si>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</si>
  <si>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</si>
  <si>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</si>
  <si>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</si>
  <si>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</si>
  <si>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pyTestRtdArray</t>
  </si>
  <si>
    <t>pyTestRtdManual</t>
  </si>
  <si>
    <t>{90160000-000F-0000-1000-0000000FF1CE}</t>
  </si>
  <si>
    <t>pyTestExcelFuncAsync</t>
  </si>
  <si>
    <t>pyTestCallerRTD</t>
  </si>
  <si>
    <t>Clock</t>
  </si>
  <si>
    <t>RTD TESTS</t>
  </si>
  <si>
    <t>Calc on Test 1 finished at: 2022-06-17 20:57:50.934535</t>
  </si>
  <si>
    <t>Wait</t>
  </si>
  <si>
    <t>pyTestFastArray</t>
  </si>
  <si>
    <t>pyTestVargs</t>
  </si>
  <si>
    <t>Calc finished at: 2022-12-16 21:12:39.877163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</si>
</sst>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3" fillId="0" borderId="0" xfId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6" borderId="0" xfId="0" applyFill="1"/>
    <xf numFmtId="0" fontId="0" fillId="0" borderId="1" xfId="0" quotePrefix="1" applyBorder="1"/>
  </cellXfs>
  <cellStyles count="2">
    <cellStyle name="Hyperlink" xfId="1" builtinId="8"/>
    <cellStyle name="Normal" xfId="0" builtinId="0"/>
  </cellStyles>
  <dxfs count="2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dff94b16.f1f8.46ae.b932.38c507f8bb61">
      <tp>
        <v>0</v>
        <stp/>
        <stp>Time:2.0</stp>
        <tr r="D12" s="2"/>
      </tp>
    </main>
    <main first="xloil.0106f820.7761.4cf2.a912.11015e034827">
      <tp>
        <v>0</v>
        <stp/>
        <stp>{F2278678-9085-4F81-9E87-8B218990FDCE}</stp>
        <tr r="D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0"/>
  <sheetViews>
    <sheetView showGridLines="0" tabSelected="1" topLeftCell="A22" workbookViewId="0">
      <selection activeCell="B34" sqref="B34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77</v>
      </c>
      <c r="B1" s="5"/>
      <c r="C1" s="5"/>
      <c r="D1" s="10"/>
      <c r="F1" s="19"/>
      <c r="G1" t="s">
        <v>69</v>
      </c>
      <c r="H1" t="s">
        <v>68</v>
      </c>
      <c r="I1" t="s">
        <v>68</v>
      </c>
      <c r="J1" t="s">
        <v>68</v>
      </c>
      <c r="K1" s="22" t="s">
        <v>68</v>
      </c>
    </row>
    <row r="2" spans="1:11" x14ac:dyDescent="0.3">
      <c r="A2" s="10"/>
      <c r="B2" s="10"/>
      <c r="C2" s="10"/>
      <c r="D2" s="10"/>
      <c r="F2" s="19"/>
      <c r="K2" s="23"/>
    </row>
    <row r="3" spans="1:11" x14ac:dyDescent="0.3">
      <c r="A3" s="17" t="s">
        <v>63</v>
      </c>
      <c r="B3" s="18" t="b">
        <f ca="1">AND(B8:B202)</f>
        <v>1</v>
      </c>
      <c r="F3" s="19"/>
      <c r="K3" s="24"/>
    </row>
    <row r="4" spans="1:11" x14ac:dyDescent="0.3">
      <c r="A4" s="17" t="s">
        <v>64</v>
      </c>
      <c r="B4" s="18" t="b">
        <f>G1="OK"</f>
        <v>1</v>
      </c>
      <c r="G4" s="20"/>
      <c r="H4" s="20"/>
      <c r="I4" s="20"/>
      <c r="J4" s="20"/>
    </row>
    <row r="5" spans="1:11" x14ac:dyDescent="0.3">
      <c r="A5" s="17" t="s">
        <v>76</v>
      </c>
      <c r="B5" s="18" t="e">
        <f ca="1">RTD!B3</f>
        <v>#NAME?</v>
      </c>
    </row>
    <row r="6" spans="1:11" x14ac:dyDescent="0.3">
      <c r="A6" s="17"/>
    </row>
    <row r="7" spans="1:11" x14ac:dyDescent="0.3">
      <c r="A7" s="1" t="s">
        <v>38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9" t="str">
        <f>pySum(1,2)</f>
        <v>Error in arg 3 'z': Cannot convert 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10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3.2: Expected int</v>
      </c>
      <c r="D11" s="9" t="str">
        <f>pySumNums(1,2,3.2)</f>
        <v>Error in arg 3 'a': Cannot convert 3.2: Expected int</v>
      </c>
    </row>
    <row r="12" spans="1:11" x14ac:dyDescent="0.3">
      <c r="B12" s="21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1">
        <v>1</v>
      </c>
      <c r="H17" s="11">
        <v>2</v>
      </c>
      <c r="I17" s="11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26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21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1">
        <v>3.1</v>
      </c>
      <c r="H22" s="11">
        <v>1</v>
      </c>
      <c r="I22" s="11">
        <v>2</v>
      </c>
      <c r="J22" s="11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1">
        <v>3.1</v>
      </c>
      <c r="H23" s="11">
        <v>1</v>
      </c>
      <c r="I23" s="11">
        <v>2</v>
      </c>
      <c r="J23" s="11">
        <v>3</v>
      </c>
    </row>
    <row r="24" spans="1:10" x14ac:dyDescent="0.3">
      <c r="B24" s="21" t="b">
        <f>AND(B22:B23)</f>
        <v>1</v>
      </c>
      <c r="G24" s="11"/>
      <c r="H24" s="11">
        <v>4</v>
      </c>
      <c r="I24" s="11">
        <v>5</v>
      </c>
      <c r="J24" s="11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1">
        <v>1</v>
      </c>
      <c r="H27" s="11">
        <v>2</v>
      </c>
    </row>
    <row r="28" spans="1:10" x14ac:dyDescent="0.3">
      <c r="A28" s="2" t="s">
        <v>27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1">
        <v>3</v>
      </c>
      <c r="H28" s="11">
        <v>4</v>
      </c>
    </row>
    <row r="29" spans="1:10" x14ac:dyDescent="0.3">
      <c r="A29" s="2" t="s">
        <v>79</v>
      </c>
      <c r="B29" t="b">
        <f>C29=D29</f>
        <v>1</v>
      </c>
      <c r="C29">
        <f>C28</f>
        <v>10</v>
      </c>
      <c r="D29" s="6">
        <f>SUM(_xll.pyTestFastArr(G27:H28))</f>
        <v>10</v>
      </c>
      <c r="G29" s="11"/>
      <c r="H29" s="11"/>
    </row>
    <row r="30" spans="1:10" x14ac:dyDescent="0.3">
      <c r="A30" s="2"/>
      <c r="B30" s="21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1" t="s">
        <v>17</v>
      </c>
      <c r="H32" s="11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1" t="s">
        <v>18</v>
      </c>
      <c r="H33" s="11" t="s">
        <v>20</v>
      </c>
    </row>
    <row r="34" spans="1:9" x14ac:dyDescent="0.3">
      <c r="B34" s="21" t="b">
        <f>AND(B32:B33)</f>
        <v>1</v>
      </c>
    </row>
    <row r="35" spans="1:9" x14ac:dyDescent="0.3">
      <c r="A35" s="2"/>
    </row>
    <row r="36" spans="1:9" x14ac:dyDescent="0.3">
      <c r="A36" s="2" t="s">
        <v>80</v>
      </c>
      <c r="B36" t="b">
        <f>D36=C36</f>
        <v>1</v>
      </c>
      <c r="C36">
        <f>SUM(G37:I37)</f>
        <v>6</v>
      </c>
      <c r="D36" s="6" cm="1">
        <f t="array" ref="D36">pyTestVargs(G37,H37,I37)</f>
        <v>6</v>
      </c>
      <c r="G36" t="s">
        <v>32</v>
      </c>
      <c r="H36" t="s">
        <v>29</v>
      </c>
      <c r="I36" t="s">
        <v>30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1">
        <v>1</v>
      </c>
      <c r="H37" s="11">
        <v>2</v>
      </c>
      <c r="I37" s="11">
        <v>3</v>
      </c>
    </row>
    <row r="38" spans="1:9" x14ac:dyDescent="0.3">
      <c r="A38" s="2"/>
      <c r="B38" s="21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25</v>
      </c>
      <c r="B40" t="b">
        <f>C40=D40</f>
        <v>1</v>
      </c>
      <c r="C40" t="s">
        <v>24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60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21" t="b">
        <f>AND(B40:B41)</f>
        <v>1</v>
      </c>
    </row>
    <row r="44" spans="1:9" ht="13.8" customHeight="1" x14ac:dyDescent="0.3"/>
    <row r="45" spans="1:9" x14ac:dyDescent="0.3">
      <c r="A45" s="2" t="s">
        <v>28</v>
      </c>
      <c r="B45" s="21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39</v>
      </c>
      <c r="B47" s="21" t="b">
        <f>C47=D47</f>
        <v>1</v>
      </c>
      <c r="C47" t="s">
        <v>72</v>
      </c>
      <c r="D47" t="str">
        <f>pyTestCom()</f>
        <v>{90160000-000F-0000-1000-0000000FF1CE}</v>
      </c>
    </row>
    <row r="48" spans="1:9" x14ac:dyDescent="0.3">
      <c r="A48" s="2"/>
    </row>
    <row r="49" spans="1:10" x14ac:dyDescent="0.3">
      <c r="A49" s="2" t="s">
        <v>40</v>
      </c>
      <c r="B49" s="21" t="b">
        <f ca="1">C49=SUBSTITUTE(D49, "'","")</f>
        <v>1</v>
      </c>
      <c r="C49" s="4" t="str">
        <f ca="1">MID(CELL("filename"),FIND("[",CELL("filename")),100)&amp;"!"&amp;ADDRESS(ROW(H50),COLUMN(H50),4)</f>
        <v>[PythonTest.xlsm]Test 1!H50</v>
      </c>
      <c r="D49" s="9" t="str">
        <f>pyTestRange(G49:H50)</f>
        <v>'[PythonTest.xlsm]Test 1'!H50</v>
      </c>
      <c r="E49" s="4"/>
      <c r="G49" s="11">
        <v>1</v>
      </c>
      <c r="H49" s="11">
        <v>2</v>
      </c>
    </row>
    <row r="50" spans="1:10" x14ac:dyDescent="0.3">
      <c r="A50" s="2"/>
      <c r="G50" s="11">
        <v>3</v>
      </c>
      <c r="H50" s="11">
        <v>4</v>
      </c>
    </row>
    <row r="51" spans="1:10" x14ac:dyDescent="0.3">
      <c r="A51" s="2"/>
    </row>
    <row r="52" spans="1:10" x14ac:dyDescent="0.3">
      <c r="A52" s="2" t="s">
        <v>31</v>
      </c>
      <c r="B52" t="b">
        <f>C52=D52</f>
        <v>1</v>
      </c>
      <c r="C52">
        <v>2</v>
      </c>
      <c r="D52" s="6">
        <f>pyTestCustomConv(1)</f>
        <v>2</v>
      </c>
    </row>
    <row r="53" spans="1:10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1">
        <v>3</v>
      </c>
      <c r="H53" s="11">
        <v>4</v>
      </c>
    </row>
    <row r="54" spans="1:10" x14ac:dyDescent="0.3">
      <c r="B54" s="21" t="b">
        <f>AND(B52:B53)</f>
        <v>1</v>
      </c>
    </row>
    <row r="55" spans="1:10" x14ac:dyDescent="0.3">
      <c r="A55" s="2"/>
    </row>
    <row r="56" spans="1:10" x14ac:dyDescent="0.3">
      <c r="A56" s="2" t="s">
        <v>33</v>
      </c>
      <c r="B56" t="b">
        <f>C56=D56</f>
        <v>1</v>
      </c>
      <c r="C56">
        <f>H57</f>
        <v>2</v>
      </c>
      <c r="D56" s="6">
        <f>pyTestFrameFetch(J56,,"B")</f>
        <v>2</v>
      </c>
      <c r="G56" s="12" t="s">
        <v>32</v>
      </c>
      <c r="H56" s="12" t="s">
        <v>29</v>
      </c>
      <c r="I56" s="12" t="s">
        <v>30</v>
      </c>
      <c r="J56" s="13" t="str">
        <f>pyTestDFrame(G56:I57)</f>
        <v>欣[PythonTest.xlsm]Test 1!R56C10DataFrame,A</v>
      </c>
    </row>
    <row r="57" spans="1:10" x14ac:dyDescent="0.3">
      <c r="A57" s="2"/>
      <c r="G57" s="12">
        <v>1</v>
      </c>
      <c r="H57" s="12">
        <v>2</v>
      </c>
      <c r="I57" s="12">
        <v>3</v>
      </c>
    </row>
    <row r="58" spans="1:10" x14ac:dyDescent="0.3">
      <c r="A58" s="2"/>
    </row>
    <row r="59" spans="1:10" x14ac:dyDescent="0.3">
      <c r="A59" s="2" t="s">
        <v>34</v>
      </c>
      <c r="B59" t="b">
        <f>C59=D59</f>
        <v>1</v>
      </c>
      <c r="C59" t="str">
        <f>I60</f>
        <v>Foo</v>
      </c>
      <c r="D59" s="6" t="str">
        <f>pyTestFrameFetch(J59,0,"B")</f>
        <v>Foo</v>
      </c>
      <c r="G59" s="11" t="s">
        <v>35</v>
      </c>
      <c r="H59" s="11" t="s">
        <v>32</v>
      </c>
      <c r="I59" s="11" t="s">
        <v>29</v>
      </c>
      <c r="J59" s="13" t="str">
        <f>pyTestDFrameIndex(G59:I61)</f>
        <v>欣[PythonTest.xlsm]Test 1!R59C10,A</v>
      </c>
    </row>
    <row r="60" spans="1:10" x14ac:dyDescent="0.3">
      <c r="A60" s="2"/>
      <c r="B60" t="b">
        <f>C60=D60</f>
        <v>1</v>
      </c>
      <c r="C60">
        <f>H61</f>
        <v>2.1</v>
      </c>
      <c r="D60" s="6">
        <f t="array" ref="D60:D61">pyTestFrameFetch(J59,1)</f>
        <v>2.1</v>
      </c>
      <c r="G60" s="11">
        <v>0</v>
      </c>
      <c r="H60" s="11">
        <v>5.3</v>
      </c>
      <c r="I60" s="11" t="s">
        <v>17</v>
      </c>
    </row>
    <row r="61" spans="1:10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11">
        <v>1</v>
      </c>
      <c r="H61" s="11">
        <v>2.1</v>
      </c>
      <c r="I61" s="11" t="s">
        <v>18</v>
      </c>
    </row>
    <row r="62" spans="1:10" x14ac:dyDescent="0.3">
      <c r="A62" s="2"/>
    </row>
    <row r="63" spans="1:10" x14ac:dyDescent="0.3">
      <c r="A63" s="2" t="s">
        <v>55</v>
      </c>
      <c r="B63" t="b">
        <f t="array" ref="B63">SUM((D63:F65=G59:I61)+0)=9</f>
        <v>1</v>
      </c>
      <c r="D63" s="6" t="str">
        <f t="array" ref="D63:F65">pyTestFrameFetch(J59)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D65" s="6">
        <v>1</v>
      </c>
      <c r="E65" s="6">
        <v>2.1</v>
      </c>
      <c r="F65" s="6" t="str">
        <v>Bar</v>
      </c>
    </row>
    <row r="67" spans="1:7" x14ac:dyDescent="0.3">
      <c r="B67" t="b">
        <f t="array" ref="B67">SUM((D67:F68=G59:I60)+0)=6</f>
        <v>1</v>
      </c>
      <c r="D67" s="6" t="str">
        <f t="array" ref="D67:F68">pyTestFrameWrite(J59)</f>
        <v>Time</v>
      </c>
      <c r="E67" s="6" t="str">
        <v>A</v>
      </c>
      <c r="F67" s="6" t="str">
        <v>B</v>
      </c>
    </row>
    <row r="68" spans="1:7" x14ac:dyDescent="0.3">
      <c r="D68" s="6">
        <v>0</v>
      </c>
      <c r="E68" s="6">
        <v>5.3</v>
      </c>
      <c r="F68" s="6" t="str">
        <v>Foo</v>
      </c>
    </row>
    <row r="69" spans="1:7" x14ac:dyDescent="0.3">
      <c r="B69" s="21" t="b">
        <f>AND(B56:B68)</f>
        <v>1</v>
      </c>
    </row>
    <row r="71" spans="1:7" x14ac:dyDescent="0.3">
      <c r="A71" s="2" t="s">
        <v>36</v>
      </c>
      <c r="B71" t="b">
        <f>C71=D71</f>
        <v>1</v>
      </c>
      <c r="C71" s="3">
        <f>G71+1</f>
        <v>42737</v>
      </c>
      <c r="D71" s="7">
        <f>pyTestDate(G71)</f>
        <v>42737</v>
      </c>
      <c r="E71" s="3"/>
      <c r="G71" s="14">
        <v>42736</v>
      </c>
    </row>
    <row r="72" spans="1:7" x14ac:dyDescent="0.3">
      <c r="B72" t="b">
        <f>D72=C72</f>
        <v>1</v>
      </c>
      <c r="C72" s="3">
        <v>42768</v>
      </c>
      <c r="D72" s="7">
        <f>pyTestDate(G72)</f>
        <v>42768</v>
      </c>
      <c r="E72" s="3"/>
      <c r="G72" s="15" t="s">
        <v>37</v>
      </c>
    </row>
    <row r="73" spans="1:7" x14ac:dyDescent="0.3">
      <c r="B73" s="21" t="b">
        <f>AND(B71:B72)</f>
        <v>1</v>
      </c>
    </row>
    <row r="75" spans="1:7" x14ac:dyDescent="0.3">
      <c r="A75" s="2" t="s">
        <v>47</v>
      </c>
      <c r="B75" s="21" t="b">
        <f>E81&lt;&gt;F81</f>
        <v>1</v>
      </c>
      <c r="D75" t="s">
        <v>48</v>
      </c>
      <c r="E75">
        <v>3</v>
      </c>
      <c r="F75">
        <v>1</v>
      </c>
      <c r="G75">
        <v>4</v>
      </c>
    </row>
    <row r="76" spans="1:7" x14ac:dyDescent="0.3">
      <c r="A76" t="s">
        <v>54</v>
      </c>
      <c r="D76" t="s">
        <v>49</v>
      </c>
      <c r="E76">
        <v>3</v>
      </c>
      <c r="F76">
        <v>2</v>
      </c>
      <c r="G76">
        <v>7</v>
      </c>
    </row>
    <row r="77" spans="1:7" x14ac:dyDescent="0.3">
      <c r="D77" t="s">
        <v>50</v>
      </c>
      <c r="E77">
        <v>500</v>
      </c>
      <c r="F77">
        <f>E77</f>
        <v>500</v>
      </c>
      <c r="G77">
        <f>E77</f>
        <v>500</v>
      </c>
    </row>
    <row r="78" spans="1:7" x14ac:dyDescent="0.3">
      <c r="D78" t="s">
        <v>51</v>
      </c>
      <c r="E78">
        <f>E77</f>
        <v>500</v>
      </c>
      <c r="F78">
        <f>E78</f>
        <v>500</v>
      </c>
      <c r="G78">
        <f>E78</f>
        <v>500</v>
      </c>
    </row>
    <row r="79" spans="1:7" x14ac:dyDescent="0.3">
      <c r="D79" t="s">
        <v>52</v>
      </c>
      <c r="E79">
        <f>E78</f>
        <v>500</v>
      </c>
      <c r="F79">
        <f>E79</f>
        <v>500</v>
      </c>
      <c r="G79">
        <f>E79</f>
        <v>500</v>
      </c>
    </row>
    <row r="80" spans="1:7" x14ac:dyDescent="0.3">
      <c r="D80" t="s">
        <v>53</v>
      </c>
      <c r="E80">
        <f>E79</f>
        <v>500</v>
      </c>
      <c r="F80">
        <f>E80</f>
        <v>500</v>
      </c>
      <c r="G80">
        <f>E80</f>
        <v>500</v>
      </c>
    </row>
    <row r="81" spans="1:8" x14ac:dyDescent="0.3">
      <c r="E81" s="6">
        <f>_xll.pyThreadTest(E75,E76,E77,E78,E79,E80)</f>
        <v>29184</v>
      </c>
      <c r="F81" s="6">
        <f>_xll.pyThreadTest(F75,F76,F77,F78,F79,F80)</f>
        <v>16748</v>
      </c>
      <c r="G81" s="6">
        <f>_xll.pyThreadTest(G75,G76,G77,G78,G79,G80)</f>
        <v>19484</v>
      </c>
    </row>
    <row r="84" spans="1:8" x14ac:dyDescent="0.3">
      <c r="A84" s="2" t="s">
        <v>56</v>
      </c>
      <c r="B84" s="21" t="b">
        <f>C84=D85</f>
        <v>1</v>
      </c>
      <c r="C84" t="s">
        <v>57</v>
      </c>
      <c r="D84" t="str" cm="1">
        <f t="array" ref="D84">_xll.xloPyLoad(pyWbPath()&amp;"\TestModule.py")</f>
        <v>&lt;module 'TestModule' from 'C:\\Users\\Steven\\dev\\xloil\\tests\\AutoSheets\\TestModule.py'&gt;</v>
      </c>
    </row>
    <row r="85" spans="1:8" x14ac:dyDescent="0.3">
      <c r="A85" t="s">
        <v>58</v>
      </c>
      <c r="D85" s="6" t="str">
        <f>_xll.pyTestLoadMod()</f>
        <v>Great Success!</v>
      </c>
    </row>
    <row r="88" spans="1:8" x14ac:dyDescent="0.3">
      <c r="A88" s="2" t="s">
        <v>59</v>
      </c>
      <c r="B88" s="21" t="b">
        <f>AND(D88=F88+1, D89=G88+1, D90=H88+1,D91=F89+1,D92=G89+1)</f>
        <v>1</v>
      </c>
      <c r="D88" s="6">
        <f t="array" ref="D88:D92">pyTestDateConv(F88:H89)</f>
        <v>43001</v>
      </c>
      <c r="F88" s="11">
        <v>43000</v>
      </c>
      <c r="G88" s="11">
        <v>44000</v>
      </c>
      <c r="H88" s="11">
        <v>45000.66</v>
      </c>
    </row>
    <row r="89" spans="1:8" x14ac:dyDescent="0.3">
      <c r="D89" s="6">
        <v>44001</v>
      </c>
      <c r="F89" s="11">
        <f>G88</f>
        <v>44000</v>
      </c>
      <c r="G89" s="11">
        <v>37000</v>
      </c>
      <c r="H89" s="11">
        <f>H88</f>
        <v>45000.66</v>
      </c>
    </row>
    <row r="90" spans="1:8" x14ac:dyDescent="0.3">
      <c r="D90" s="6">
        <v>45001.66</v>
      </c>
    </row>
    <row r="91" spans="1:8" x14ac:dyDescent="0.3">
      <c r="D91" s="6">
        <v>44001</v>
      </c>
    </row>
    <row r="92" spans="1:8" x14ac:dyDescent="0.3">
      <c r="D92" s="6">
        <v>37001</v>
      </c>
    </row>
    <row r="94" spans="1:8" x14ac:dyDescent="0.3">
      <c r="A94" s="2" t="s">
        <v>61</v>
      </c>
      <c r="B94" s="21" t="b">
        <f>C94:C95=D94:D95</f>
        <v>1</v>
      </c>
      <c r="C94">
        <v>0</v>
      </c>
      <c r="D94" s="6">
        <f>pyTestDynamic0()</f>
        <v>0</v>
      </c>
    </row>
    <row r="95" spans="1:8" x14ac:dyDescent="0.3">
      <c r="C95">
        <v>2</v>
      </c>
      <c r="D95" s="6">
        <f>pyTestDynamic2()</f>
        <v>2</v>
      </c>
    </row>
    <row r="97" spans="1:4" x14ac:dyDescent="0.3">
      <c r="A97" s="2" t="s">
        <v>62</v>
      </c>
      <c r="B97" s="21" t="b">
        <f>C97=D97</f>
        <v>1</v>
      </c>
      <c r="C97" t="str">
        <f>pyTestWorkbooks()</f>
        <v>PythonTest.xlsm</v>
      </c>
      <c r="D97" s="6" t="str">
        <f>pyTestWorkbooks()</f>
        <v>PythonTest.xlsm</v>
      </c>
    </row>
    <row r="99" spans="1:4" x14ac:dyDescent="0.3">
      <c r="A99" s="2" t="s">
        <v>65</v>
      </c>
      <c r="B99" s="21" t="b">
        <f>C99=D99</f>
        <v>1</v>
      </c>
      <c r="C99">
        <v>6</v>
      </c>
      <c r="D99" s="6">
        <f>pyTestExcelCall("sum",1,2,3)</f>
        <v>6</v>
      </c>
    </row>
    <row r="102" spans="1:4" x14ac:dyDescent="0.3">
      <c r="A102" s="2" t="s">
        <v>66</v>
      </c>
      <c r="B102" t="b">
        <f ca="1">C102=D102</f>
        <v>1</v>
      </c>
      <c r="C102" t="str">
        <f ca="1">"="&amp;SUBSTITUTE(CELL("address",C99)&amp;"="&amp;CELL("address",D99),"$","")</f>
        <v>=C99=D99</v>
      </c>
      <c r="D102" s="6" t="str">
        <f>pyTestExcelCall("getcell",6,Test_ExcelCall)</f>
        <v>=C99=D99</v>
      </c>
    </row>
    <row r="103" spans="1:4" x14ac:dyDescent="0.3">
      <c r="B103" t="b">
        <f ca="1">C103=D103</f>
        <v>1</v>
      </c>
      <c r="C103" t="str">
        <f ca="1">C102</f>
        <v>=C99=D99</v>
      </c>
      <c r="D103" s="6" t="str">
        <f ca="1">_xll.pyTestRangeFormula2(Test_ExcelCall)</f>
        <v>=C99=D99</v>
      </c>
    </row>
    <row r="104" spans="1:4" x14ac:dyDescent="0.3">
      <c r="B104" t="b">
        <f ca="1">C104=D104</f>
        <v>1</v>
      </c>
      <c r="C104" t="str">
        <f ca="1">C103</f>
        <v>=C99=D99</v>
      </c>
      <c r="D104" s="6" t="str">
        <f>pyTestRangeFormula(Test_ExcelCall)</f>
        <v>=C99=D99</v>
      </c>
    </row>
    <row r="105" spans="1:4" x14ac:dyDescent="0.3">
      <c r="B105" s="21" t="b">
        <f ca="1">AND(B102:B104)</f>
        <v>1</v>
      </c>
    </row>
    <row r="107" spans="1:4" x14ac:dyDescent="0.3">
      <c r="A107" s="2" t="s">
        <v>67</v>
      </c>
      <c r="B107" t="b">
        <f>C107=D107</f>
        <v>1</v>
      </c>
      <c r="C107" t="str">
        <f>C97</f>
        <v>PythonTest.xlsm</v>
      </c>
      <c r="D107" s="6" t="str">
        <f>pyTestAppRun("pyTestWorkbooks")</f>
        <v>PythonTest.xlsm</v>
      </c>
    </row>
    <row r="108" spans="1:4" x14ac:dyDescent="0.3">
      <c r="B108" t="b">
        <f>C108=D108</f>
        <v>1</v>
      </c>
      <c r="C108">
        <v>6</v>
      </c>
      <c r="D108" s="6">
        <f>pyTestAppRun("pySum",1,2,3)</f>
        <v>6</v>
      </c>
    </row>
    <row r="109" spans="1:4" x14ac:dyDescent="0.3">
      <c r="B109" t="b">
        <f ca="1">C109=SUBSTITUTE(D109, "'","")</f>
        <v>1</v>
      </c>
      <c r="C109" t="str">
        <f ca="1">MID(CELL("filename"),FIND("[",CELL("filename")),100)&amp;"!"&amp;ADDRESS(ROW(E108),COLUMN(E108),4)</f>
        <v>[PythonTest.xlsm]Test 1!E108</v>
      </c>
      <c r="D109" s="6" t="str">
        <f>pyTestAppRun("pyTestRange", D107)</f>
        <v>'[PythonTest.xlsm]Test 1'!E108</v>
      </c>
    </row>
    <row r="110" spans="1:4" x14ac:dyDescent="0.3">
      <c r="B110" s="21" t="b">
        <f ca="1">AND(B107:B109)</f>
        <v>1</v>
      </c>
    </row>
  </sheetData>
  <conditionalFormatting sqref="B8:B11 B14:B19 B21:B23 B25 B31:B33 B55:B60 B44:B53 B83 B74 B76:B81 B85:B87 B89:B93 B95:B96 B98 B27:B29 B35:B37 B40:B41">
    <cfRule type="expression" dxfId="23" priority="24">
      <formula>IFERROR(NOT(OR(ISBLANK(B8),B8)),TRUE)</formula>
    </cfRule>
  </conditionalFormatting>
  <conditionalFormatting sqref="B3">
    <cfRule type="expression" dxfId="22" priority="20">
      <formula>IFERROR(NOT(OR(ISBLANK(B3),B3)),TRUE)</formula>
    </cfRule>
  </conditionalFormatting>
  <conditionalFormatting sqref="B4:B6">
    <cfRule type="expression" dxfId="21" priority="19">
      <formula>IFERROR(NOT(OR(ISBLANK(B4),B4)),TRUE)</formula>
    </cfRule>
  </conditionalFormatting>
  <conditionalFormatting sqref="B61:B68 B70:B72">
    <cfRule type="expression" dxfId="20" priority="18">
      <formula>IFERROR(NOT(OR(ISBLANK(B61),B61)),TRUE)</formula>
    </cfRule>
  </conditionalFormatting>
  <conditionalFormatting sqref="B102:B104">
    <cfRule type="expression" dxfId="19" priority="17">
      <formula>IFERROR(NOT(OR(ISBLANK(B102),B102)),TRUE)</formula>
    </cfRule>
  </conditionalFormatting>
  <conditionalFormatting sqref="B107:B108">
    <cfRule type="expression" dxfId="18" priority="16">
      <formula>IFERROR(NOT(OR(ISBLANK(B107),B107)),TRUE)</formula>
    </cfRule>
  </conditionalFormatting>
  <conditionalFormatting sqref="B109">
    <cfRule type="expression" dxfId="17" priority="13">
      <formula>IFERROR(NOT(OR(ISBLANK(B109),B109)),TRUE)</formula>
    </cfRule>
  </conditionalFormatting>
  <conditionalFormatting sqref="B54">
    <cfRule type="expression" dxfId="16" priority="12">
      <formula>IFERROR(NOT(OR(ISBLANK(B54),B54)),TRUE)</formula>
    </cfRule>
  </conditionalFormatting>
  <conditionalFormatting sqref="B69">
    <cfRule type="expression" dxfId="15" priority="11">
      <formula>IFERROR(NOT(OR(ISBLANK(B69),B69)),TRUE)</formula>
    </cfRule>
  </conditionalFormatting>
  <conditionalFormatting sqref="B73">
    <cfRule type="expression" dxfId="14" priority="10">
      <formula>IFERROR(NOT(OR(ISBLANK(B73),B73)),TRUE)</formula>
    </cfRule>
  </conditionalFormatting>
  <conditionalFormatting sqref="B75">
    <cfRule type="expression" dxfId="13" priority="9">
      <formula>IFERROR(NOT(OR(ISBLANK(B75),B75)),TRUE)</formula>
    </cfRule>
  </conditionalFormatting>
  <conditionalFormatting sqref="B84">
    <cfRule type="expression" dxfId="12" priority="8">
      <formula>IFERROR(NOT(OR(ISBLANK(B84),B84)),TRUE)</formula>
    </cfRule>
  </conditionalFormatting>
  <conditionalFormatting sqref="B88">
    <cfRule type="expression" dxfId="11" priority="7">
      <formula>IFERROR(NOT(OR(ISBLANK(B88),B88)),TRUE)</formula>
    </cfRule>
  </conditionalFormatting>
  <conditionalFormatting sqref="B94">
    <cfRule type="expression" dxfId="10" priority="6">
      <formula>IFERROR(NOT(OR(ISBLANK(B94),B94)),TRUE)</formula>
    </cfRule>
  </conditionalFormatting>
  <conditionalFormatting sqref="B97">
    <cfRule type="expression" dxfId="9" priority="5">
      <formula>IFERROR(NOT(OR(ISBLANK(B97),B97)),TRUE)</formula>
    </cfRule>
  </conditionalFormatting>
  <conditionalFormatting sqref="B99">
    <cfRule type="expression" dxfId="8" priority="4">
      <formula>IFERROR(NOT(OR(ISBLANK(B99),B99)),TRUE)</formula>
    </cfRule>
  </conditionalFormatting>
  <conditionalFormatting sqref="B105">
    <cfRule type="expression" dxfId="7" priority="3">
      <formula>IFERROR(NOT(OR(ISBLANK(B105),B105)),TRUE)</formula>
    </cfRule>
  </conditionalFormatting>
  <conditionalFormatting sqref="B110">
    <cfRule type="expression" dxfId="6" priority="1">
      <formula>IFERROR(NOT(OR(ISBLANK(B110),B110)),TRUE)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0"/>
  <sheetViews>
    <sheetView showGridLines="0" workbookViewId="0">
      <selection activeCell="D21" sqref="D21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81</v>
      </c>
      <c r="C1" s="4" t="s">
        <v>75</v>
      </c>
      <c r="D1" s="26">
        <f>pyTestAsyncGen(2)</f>
        <v>44911.883790914639</v>
      </c>
    </row>
    <row r="3" spans="1:9" x14ac:dyDescent="0.3">
      <c r="A3" s="17" t="s">
        <v>76</v>
      </c>
      <c r="B3" t="e">
        <f ca="1">AND(B6:B22)</f>
        <v>#NAME?</v>
      </c>
    </row>
    <row r="4" spans="1:9" x14ac:dyDescent="0.3">
      <c r="A4" s="17"/>
    </row>
    <row r="5" spans="1:9" x14ac:dyDescent="0.3">
      <c r="A5" s="1" t="s">
        <v>38</v>
      </c>
      <c r="B5" s="1" t="s">
        <v>2</v>
      </c>
      <c r="C5" s="1" t="s">
        <v>13</v>
      </c>
      <c r="D5" s="1" t="s">
        <v>14</v>
      </c>
      <c r="E5" s="1"/>
      <c r="G5" s="1" t="s">
        <v>16</v>
      </c>
    </row>
    <row r="6" spans="1:9" x14ac:dyDescent="0.3">
      <c r="A6" s="2" t="s">
        <v>74</v>
      </c>
      <c r="B6" t="b">
        <f>C6=SUBSTITUTE(D6, "'","")</f>
        <v>1</v>
      </c>
      <c r="C6" s="4" t="str">
        <f>"[PythonTest.xlsm]RTD!R"&amp;ROW(D6)&amp;"C"&amp;COLUMN(D6)</f>
        <v>[PythonTest.xlsm]RTD!R6C4</v>
      </c>
      <c r="D6" s="8" t="str">
        <f>pyTestCaller()</f>
        <v>'[PythonTest.xlsm]RTD'!R6C4</v>
      </c>
    </row>
    <row r="7" spans="1:9" x14ac:dyDescent="0.3">
      <c r="B7" t="b">
        <f>C7=SUBSTITUTE(D7, "'","")</f>
        <v>1</v>
      </c>
      <c r="C7" s="4" t="str">
        <f>"[PythonTest.xlsm]RTD!R"&amp;ROW(D7)&amp;"C"&amp;COLUMN(D7)</f>
        <v>[PythonTest.xlsm]RTD!R7C4</v>
      </c>
      <c r="D7" s="8" t="str">
        <f>pyTestCaller()</f>
        <v>'[PythonTest.xlsm]RTD'!R7C4</v>
      </c>
    </row>
    <row r="9" spans="1:9" x14ac:dyDescent="0.3">
      <c r="A9" s="2" t="s">
        <v>73</v>
      </c>
      <c r="B9" t="b">
        <f>C9=D9</f>
        <v>1</v>
      </c>
      <c r="C9">
        <v>6</v>
      </c>
      <c r="D9" s="8">
        <f>pyTestExcelCallAsync(1,2,3)</f>
        <v>6</v>
      </c>
    </row>
    <row r="11" spans="1:9" x14ac:dyDescent="0.3">
      <c r="A11" s="2" t="s">
        <v>70</v>
      </c>
      <c r="B11" t="b">
        <f>C11=D11</f>
        <v>1</v>
      </c>
      <c r="C11">
        <v>6</v>
      </c>
      <c r="D11" s="8">
        <f>pyRtdArray(G11:I11)</f>
        <v>6</v>
      </c>
      <c r="G11" s="25">
        <v>1</v>
      </c>
      <c r="H11" s="25">
        <v>2</v>
      </c>
      <c r="I11" s="25">
        <v>3</v>
      </c>
    </row>
    <row r="12" spans="1:9" x14ac:dyDescent="0.3">
      <c r="A12" s="2" t="s">
        <v>71</v>
      </c>
      <c r="B12" t="b">
        <f>NOT(ISNA(D12))</f>
        <v>1</v>
      </c>
      <c r="D12" s="8">
        <f>pyTestRtdManual(2)</f>
        <v>44911.883790914639</v>
      </c>
    </row>
    <row r="15" spans="1:9" x14ac:dyDescent="0.3">
      <c r="A15" s="2" t="s">
        <v>44</v>
      </c>
      <c r="C15" s="10" t="str">
        <f>_xll.pyGetUrl(D15)</f>
        <v>You need to install aiohttp</v>
      </c>
      <c r="D15" t="s">
        <v>42</v>
      </c>
    </row>
    <row r="16" spans="1:9" x14ac:dyDescent="0.3">
      <c r="C16" s="10" t="str">
        <f>_xll.pyGetUrl(D16)</f>
        <v>You need to install aiohttp</v>
      </c>
      <c r="D16" t="s">
        <v>43</v>
      </c>
    </row>
    <row r="17" spans="1:7" x14ac:dyDescent="0.3">
      <c r="A17" s="2" t="s">
        <v>46</v>
      </c>
      <c r="C17" s="10" t="e">
        <f ca="1">_xll.pyGetUrlLive(D17)</f>
        <v>#NAME?</v>
      </c>
      <c r="D17" s="16" t="s">
        <v>45</v>
      </c>
    </row>
    <row r="19" spans="1:7" x14ac:dyDescent="0.3">
      <c r="A19" s="2" t="s">
        <v>22</v>
      </c>
      <c r="B19" t="e">
        <f ca="1">C19=D19</f>
        <v>#NAME?</v>
      </c>
      <c r="C19" t="str">
        <f>G19</f>
        <v>foo</v>
      </c>
      <c r="D19" s="8" t="e">
        <f ca="1">pyTestAsync(G19,1)</f>
        <v>#NAME?</v>
      </c>
      <c r="E19" s="10"/>
      <c r="G19" s="11" t="s">
        <v>23</v>
      </c>
    </row>
    <row r="20" spans="1:7" x14ac:dyDescent="0.3">
      <c r="A20" s="2" t="s">
        <v>41</v>
      </c>
      <c r="B20" t="b">
        <f>C20=D20</f>
        <v>1</v>
      </c>
      <c r="C20" t="str">
        <f>C19</f>
        <v>foo</v>
      </c>
      <c r="D20" s="8" t="str">
        <f>pyTestAsyncRtd(G19,1)</f>
        <v>foo</v>
      </c>
    </row>
  </sheetData>
  <conditionalFormatting sqref="B9">
    <cfRule type="expression" dxfId="5" priority="6">
      <formula>IFERROR(NOT(OR(ISBLANK(B9),B9)),TRUE)</formula>
    </cfRule>
  </conditionalFormatting>
  <conditionalFormatting sqref="B6">
    <cfRule type="expression" dxfId="4" priority="5">
      <formula>IFERROR(NOT(OR(ISBLANK(B6),B6)),TRUE)</formula>
    </cfRule>
  </conditionalFormatting>
  <conditionalFormatting sqref="B7">
    <cfRule type="expression" dxfId="3" priority="4">
      <formula>IFERROR(NOT(OR(ISBLANK(B7),B7)),TRUE)</formula>
    </cfRule>
  </conditionalFormatting>
  <conditionalFormatting sqref="B15:B17">
    <cfRule type="expression" dxfId="2" priority="3">
      <formula>IFERROR(NOT(OR(ISBLANK(B15),B15)),TRUE)</formula>
    </cfRule>
  </conditionalFormatting>
  <conditionalFormatting sqref="B11:B12">
    <cfRule type="expression" dxfId="1" priority="2">
      <formula>IFERROR(NOT(OR(ISBLANK(B11),B11)),TRUE)</formula>
    </cfRule>
  </conditionalFormatting>
  <conditionalFormatting sqref="B19:B20">
    <cfRule type="expression" dxfId="0" priority="1">
      <formula>IFERROR(NOT(OR(ISBLANK(B19),B19)),TRUE)</formula>
    </cfRule>
  </conditionalFormatting>
  <hyperlinks>
    <hyperlink ref="D17" r:id="rId1" xr:uid="{A15C8238-108A-441A-953F-6F26ED6EC3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7" sqref="D7"/>
    </sheetView>
  </sheetViews>
  <sheetFormatPr defaultRowHeight="14.4" x14ac:dyDescent="0.3"/>
  <sheetData>
    <row r="1" spans="1:2" x14ac:dyDescent="0.3">
      <c r="A1" t="s">
        <v>78</v>
      </c>
      <c r="B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Test 1</vt:lpstr>
      <vt:lpstr>RTD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2022-12-16T20:12:40Z</dcterms:modified>
</cp:coreProperties>
</file>