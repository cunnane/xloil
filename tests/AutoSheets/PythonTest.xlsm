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_build\tests\AutoSheets\"/>
    </mc:Choice>
  </mc:AlternateContent>
  <xr:revisionPtr revIDLastSave="0" documentId="13_ncr:1_{1C090602-EB00-4480-8A9F-919CBEDC4A88}" xr6:coauthVersionLast="47" xr6:coauthVersionMax="47" xr10:uidLastSave="{00000000-0000-0000-0000-000000000000}"/>
  <bookViews>
    <workbookView xWindow="828" yWindow="-108" windowWidth="22320" windowHeight="13176" xr2:uid="{00000000-000D-0000-FFFF-FFFF00000000}"/>
  </bookViews>
  <sheets>
    <sheet name="Test 1" sheetId="1" r:id="rId1"/>
    <sheet name="{Settings}" sheetId="3" r:id="rId2"/>
  </sheets>
  <functionGroups builtInGroupCount="19"/>
  <definedNames>
    <definedName name="Settings_Wait">'{Settings}'!$B$1</definedName>
    <definedName name="Test_AppRun">'Test 1'!$B$125</definedName>
    <definedName name="Test_Array1d">'Test 1'!$B$24</definedName>
    <definedName name="Test_Array2d">'Test 1'!$B$30</definedName>
    <definedName name="Test_Cache">'Test 1'!$B$42</definedName>
    <definedName name="Test_ComBasic">'Test 1'!$B$47</definedName>
    <definedName name="Test_CustomConverter">'Test 1'!$B$54</definedName>
    <definedName name="Test_Dataframe">'Test 1'!$B$83</definedName>
    <definedName name="Test_Date">'Test 1'!$B$87</definedName>
    <definedName name="Test_DateConversion">'Test 1'!$B$103</definedName>
    <definedName name="Test_DynamicRegistration">'Test 1'!$B$109</definedName>
    <definedName name="Test_ExcelCall">'Test 1'!$B$114</definedName>
    <definedName name="Test_ExternalLoad">'Test 1'!$B$98</definedName>
    <definedName name="Test_GetFormula">'Test 1'!$B$120</definedName>
    <definedName name="Test_IteratorReturn">'Test 1'!$B$45</definedName>
    <definedName name="Test_Kwargs">'Test 1'!$B$34</definedName>
    <definedName name="Test_RoundTrip">'Test 1'!$B$20</definedName>
    <definedName name="Test_Sum">'Test 1'!$B$12</definedName>
    <definedName name="Test_Threaded">'Test 1'!$B$89</definedName>
    <definedName name="Test_WorkbooksObject">'Test 1'!$B$112</definedName>
    <definedName name="TestArea" localSheetId="0">'Test 1'!$G$1:$J$3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3" i="1" l="1" a="1"/>
  <c r="B73" i="1" s="1"/>
  <c r="C36" i="1"/>
  <c r="C37" i="1"/>
  <c r="C124" i="1"/>
  <c r="C117" i="1"/>
  <c r="D100" i="1" a="1"/>
  <c r="D99" i="1"/>
  <c r="D122" i="1"/>
  <c r="D32" i="1" a="1"/>
  <c r="D73" i="1" a="1"/>
  <c r="D29" i="1"/>
  <c r="D117" i="1"/>
  <c r="D68" i="1" a="1"/>
  <c r="D119" i="1"/>
  <c r="K59" i="1"/>
  <c r="D118" i="1"/>
  <c r="D36" i="1" a="1"/>
  <c r="D37" i="1" a="1"/>
  <c r="D98" i="1" a="1"/>
  <c r="D73" i="1" l="1"/>
  <c r="D68" i="1"/>
  <c r="B69" i="1" s="1" a="1"/>
  <c r="B69" i="1" s="1"/>
  <c r="D100" i="1"/>
  <c r="D98" i="1"/>
  <c r="D32" i="1"/>
  <c r="D33" i="1"/>
  <c r="E32" i="1"/>
  <c r="E33" i="1"/>
  <c r="D37" i="1"/>
  <c r="B37" i="1" s="1"/>
  <c r="D36" i="1"/>
  <c r="B36" i="1" s="1"/>
  <c r="B117" i="1"/>
  <c r="D64" i="1" a="1"/>
  <c r="D59" i="1"/>
  <c r="D101" i="1" a="1"/>
  <c r="B64" i="1" l="1" a="1"/>
  <c r="B64" i="1" s="1"/>
  <c r="D64" i="1"/>
  <c r="D101" i="1"/>
  <c r="B99" i="1" s="1"/>
  <c r="B38" i="1"/>
  <c r="B4" i="1"/>
  <c r="D124" i="1"/>
  <c r="C118" i="1" l="1"/>
  <c r="C119" i="1" s="1"/>
  <c r="D123" i="1"/>
  <c r="D114" i="1"/>
  <c r="D110" i="1"/>
  <c r="D109" i="1"/>
  <c r="D14" i="1"/>
  <c r="D112" i="1"/>
  <c r="C112" i="1"/>
  <c r="B124" i="1" l="1"/>
  <c r="C122" i="1"/>
  <c r="B122" i="1" s="1"/>
  <c r="B123" i="1"/>
  <c r="B119" i="1"/>
  <c r="B118" i="1"/>
  <c r="B114" i="1"/>
  <c r="B112" i="1"/>
  <c r="B109" i="1"/>
  <c r="C41" i="1"/>
  <c r="C49" i="1"/>
  <c r="D41" i="1"/>
  <c r="B125" i="1" l="1"/>
  <c r="B120" i="1"/>
  <c r="B41" i="1"/>
  <c r="H104" i="1"/>
  <c r="F104" i="1"/>
  <c r="D103" i="1" a="1"/>
  <c r="D105" i="1" l="1"/>
  <c r="D106" i="1"/>
  <c r="D107" i="1"/>
  <c r="D103" i="1"/>
  <c r="D104" i="1"/>
  <c r="B103" i="1" l="1"/>
  <c r="B33" i="1"/>
  <c r="B32" i="1"/>
  <c r="E92" i="1"/>
  <c r="F92" i="1" s="1"/>
  <c r="G91" i="1"/>
  <c r="F91" i="1"/>
  <c r="B34" i="1" l="1"/>
  <c r="E93" i="1"/>
  <c r="F93" i="1" s="1"/>
  <c r="G92" i="1"/>
  <c r="G93" i="1" l="1"/>
  <c r="E94" i="1"/>
  <c r="D49" i="1"/>
  <c r="B49" i="1" l="1"/>
  <c r="F94" i="1"/>
  <c r="F95" i="1" s="1"/>
  <c r="G94" i="1"/>
  <c r="G95" i="1" s="1"/>
  <c r="C85" i="1"/>
  <c r="E95" i="1"/>
  <c r="D86" i="1"/>
  <c r="D11" i="1"/>
  <c r="B89" i="1" l="1"/>
  <c r="B86" i="1"/>
  <c r="D8" i="1"/>
  <c r="D85" i="1"/>
  <c r="B85" i="1" l="1"/>
  <c r="B87" i="1" s="1"/>
  <c r="C61" i="1"/>
  <c r="C60" i="1"/>
  <c r="C59" i="1"/>
  <c r="C56" i="1"/>
  <c r="C53" i="1"/>
  <c r="C27" i="1"/>
  <c r="C28" i="1" s="1"/>
  <c r="C29" i="1" s="1"/>
  <c r="B29" i="1" s="1"/>
  <c r="C22" i="1" a="1"/>
  <c r="C22" i="1" s="1"/>
  <c r="C18" i="1"/>
  <c r="C17" i="1"/>
  <c r="C19" i="1" s="1"/>
  <c r="D23" i="1"/>
  <c r="D18" i="1"/>
  <c r="J56" i="1"/>
  <c r="D19" i="1"/>
  <c r="D15" i="1"/>
  <c r="D22" i="1"/>
  <c r="D52" i="1"/>
  <c r="D9" i="1"/>
  <c r="C11" i="1"/>
  <c r="G40" i="1"/>
  <c r="D27" i="1"/>
  <c r="D10" i="1"/>
  <c r="D53" i="1"/>
  <c r="D16" i="1"/>
  <c r="D47" i="1"/>
  <c r="D45" i="1"/>
  <c r="D17" i="1"/>
  <c r="D28" i="1"/>
  <c r="B47" i="1" l="1"/>
  <c r="B11" i="1"/>
  <c r="B45" i="1"/>
  <c r="B27" i="1"/>
  <c r="B10" i="1"/>
  <c r="B17" i="1"/>
  <c r="B52" i="1"/>
  <c r="B14" i="1"/>
  <c r="B15" i="1"/>
  <c r="B8" i="1"/>
  <c r="B18" i="1"/>
  <c r="B9" i="1"/>
  <c r="B16" i="1"/>
  <c r="B23" i="1"/>
  <c r="B53" i="1"/>
  <c r="B22" i="1"/>
  <c r="B19" i="1"/>
  <c r="B28" i="1"/>
  <c r="D40" i="1"/>
  <c r="D56" i="1"/>
  <c r="D81" i="1" a="1"/>
  <c r="D60" i="1" a="1"/>
  <c r="B54" i="1" l="1"/>
  <c r="B30" i="1"/>
  <c r="B24" i="1"/>
  <c r="B20" i="1"/>
  <c r="B12" i="1"/>
  <c r="F81" i="1"/>
  <c r="E82" i="1"/>
  <c r="F82" i="1"/>
  <c r="E81" i="1"/>
  <c r="D82" i="1"/>
  <c r="D81" i="1"/>
  <c r="B56" i="1"/>
  <c r="D60" i="1"/>
  <c r="B60" i="1" s="1"/>
  <c r="D61" i="1"/>
  <c r="B61" i="1" s="1"/>
  <c r="B59" i="1"/>
  <c r="B40" i="1"/>
  <c r="B42" i="1" s="1"/>
  <c r="B81" i="1" l="1" a="1"/>
  <c r="B81" i="1" s="1"/>
  <c r="B83" i="1" s="1"/>
  <c r="B98" i="1" l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<sst xmlns="http://schemas.openxmlformats.org/spreadsheetml/2006/main" count="98" uniqueCount="79">
  <si>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</si>
  <si>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</si>
  <si>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</si>
  <si>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</si>
  <si>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</si>
  <si>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</si>
  <si>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</si>
  <si>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</si>
  <si>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</si>
  <si>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</si>
  <si>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</si>
  <si>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</si>
  <si>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</si>
  <si>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</si>
  <si>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</si>
  <si>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</si>
  <si>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</si>
  <si>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</si>
  <si>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</si>
  <si>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</si>
  <si>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</si>
  <si>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</si>
  <si>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</si>
  <si>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</si>
  <si>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</si>
  <si>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</si>
  <si>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</si>
  <si>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</si>
  <si>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</si>
  <si>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</si>
  <si>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</si>
  <si>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</si>
  <si>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</si>
  <si>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</si>
  <si>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</si>
  <si>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</si>
  <si>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</si>
  <si>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</si>
  <si>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</si>
  <si>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</si>
  <si>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</si>
  <si>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</si>
  <si>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</si>
  <si>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</si>
  <si>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</si>
  <si>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</si>
  <si>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</si>
  <si>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</si>
  <si>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Great Success!</t>
  </si>
  <si>
    <t>Test external module load</t>
  </si>
  <si>
    <t>pyTestDateConv</t>
  </si>
  <si>
    <t>pyTestToCache</t>
  </si>
  <si>
    <t>pyTestDynamic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</si>
  <si>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</si>
  <si>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</si>
  <si>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</si>
  <si>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</si>
  <si>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</si>
  <si>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</si>
  <si>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</si>
  <si>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OK</t>
  </si>
  <si>
    <t>{90160000-000F-0000-1000-0000000FF1CE}</t>
  </si>
  <si>
    <t>RTD TESTS</t>
  </si>
  <si>
    <t>Wait</t>
  </si>
  <si>
    <t>pyTestFastArray</t>
  </si>
  <si>
    <t>pyTestVargs</t>
  </si>
  <si>
    <t>xloImport</t>
  </si>
  <si>
    <t>Date</t>
  </si>
  <si>
    <t>Food</t>
  </si>
  <si>
    <t>pyTestDFrameMultIndex</t>
  </si>
  <si>
    <t>Category</t>
  </si>
  <si>
    <t>Clock</t>
  </si>
  <si>
    <t>Type</t>
  </si>
  <si>
    <t>numbers</t>
  </si>
  <si>
    <t>dates</t>
  </si>
  <si>
    <t>objects</t>
  </si>
  <si>
    <t>&lt;class 'int'&gt;</t>
  </si>
  <si>
    <t>pyTestDFrameNaNs</t>
  </si>
  <si>
    <t>Calc finished at: 2023-08-27 16:25:51.208640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</si>
</sst>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right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14" fontId="0" fillId="3" borderId="0" xfId="0" applyNumberFormat="1" applyFill="1"/>
    <xf numFmtId="14" fontId="0" fillId="3" borderId="0" xfId="0" quotePrefix="1" applyNumberFormat="1" applyFill="1"/>
    <xf numFmtId="0" fontId="1" fillId="0" borderId="0" xfId="0" quotePrefix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5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165" fontId="0" fillId="3" borderId="0" xfId="0" applyNumberFormat="1" applyFill="1"/>
  </cellXfs>
  <cellStyles count="1">
    <cellStyle name="Normal" xfId="0" builtinId="0"/>
  </cellStyles>
  <dxfs count="18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25"/>
  <sheetViews>
    <sheetView showGridLines="0" tabSelected="1" topLeftCell="A58" workbookViewId="0">
      <selection activeCell="C69" sqref="C69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45.5546875" customWidth="1"/>
    <col min="4" max="4" width="28.44140625" customWidth="1"/>
    <col min="5" max="5" width="11.44140625" customWidth="1"/>
    <col min="6" max="6" width="15" customWidth="1"/>
    <col min="7" max="7" width="13.33203125" customWidth="1"/>
    <col min="8" max="8" width="15.88671875" customWidth="1"/>
    <col min="10" max="10" width="10.5546875" bestFit="1" customWidth="1"/>
    <col min="12" max="12" width="10.6640625" customWidth="1"/>
  </cols>
  <sheetData>
    <row r="1" spans="1:11" x14ac:dyDescent="0.3">
      <c r="A1" s="5" t="s">
        <v>78</v>
      </c>
      <c r="B1" s="5"/>
      <c r="C1" s="5"/>
      <c r="D1" s="9"/>
      <c r="F1" s="17"/>
      <c r="G1" t="s">
        <v>60</v>
      </c>
      <c r="H1" t="s">
        <v>59</v>
      </c>
      <c r="I1" t="s">
        <v>59</v>
      </c>
      <c r="J1" t="s">
        <v>59</v>
      </c>
      <c r="K1" s="20" t="s">
        <v>59</v>
      </c>
    </row>
    <row r="2" spans="1:11" x14ac:dyDescent="0.3">
      <c r="A2" s="9"/>
      <c r="B2" s="9"/>
      <c r="C2" s="9"/>
      <c r="D2" s="9"/>
      <c r="F2" s="17"/>
      <c r="K2" s="21"/>
    </row>
    <row r="3" spans="1:11" x14ac:dyDescent="0.3">
      <c r="A3" s="15" t="s">
        <v>54</v>
      </c>
      <c r="B3" s="16" t="b">
        <f ca="1">AND(B8:B217)</f>
        <v>0</v>
      </c>
      <c r="F3" s="17"/>
      <c r="K3" s="22"/>
    </row>
    <row r="4" spans="1:11" x14ac:dyDescent="0.3">
      <c r="A4" s="15" t="s">
        <v>55</v>
      </c>
      <c r="B4" s="16" t="b">
        <f>G1="OK"</f>
        <v>1</v>
      </c>
      <c r="G4" s="18"/>
      <c r="H4" s="18"/>
      <c r="I4" s="18"/>
      <c r="J4" s="18"/>
    </row>
    <row r="5" spans="1:11" x14ac:dyDescent="0.3">
      <c r="A5" s="15" t="s">
        <v>62</v>
      </c>
      <c r="B5" s="16"/>
    </row>
    <row r="6" spans="1:11" x14ac:dyDescent="0.3">
      <c r="A6" s="15"/>
    </row>
    <row r="7" spans="1:11" x14ac:dyDescent="0.3">
      <c r="A7" s="1" t="s">
        <v>36</v>
      </c>
      <c r="B7" s="1" t="s">
        <v>2</v>
      </c>
      <c r="C7" s="1" t="s">
        <v>13</v>
      </c>
      <c r="D7" s="1" t="s">
        <v>14</v>
      </c>
      <c r="E7" s="1"/>
      <c r="G7" s="1" t="s">
        <v>16</v>
      </c>
    </row>
    <row r="8" spans="1:11" x14ac:dyDescent="0.3">
      <c r="A8" s="2" t="s">
        <v>0</v>
      </c>
      <c r="B8" t="b">
        <f>C8=D8</f>
        <v>1</v>
      </c>
      <c r="C8">
        <v>6</v>
      </c>
      <c r="D8" s="6">
        <f>pySum(1,2,3)</f>
        <v>6</v>
      </c>
    </row>
    <row r="9" spans="1:11" x14ac:dyDescent="0.3">
      <c r="A9" s="2" t="s">
        <v>4</v>
      </c>
      <c r="B9" t="b">
        <f>NOT(ISERROR(FIND("Error",D9)))</f>
        <v>1</v>
      </c>
      <c r="C9" t="s">
        <v>15</v>
      </c>
      <c r="D9" s="8" t="str">
        <f>pySum(1,2)</f>
        <v>Error in arg 3 'z': Cannot convert '': Unknown type</v>
      </c>
    </row>
    <row r="10" spans="1:11" x14ac:dyDescent="0.3">
      <c r="A10" s="2" t="s">
        <v>1</v>
      </c>
      <c r="B10" t="b">
        <f>C10=D10</f>
        <v>1</v>
      </c>
      <c r="C10">
        <v>9</v>
      </c>
      <c r="D10" s="6">
        <f>pySumNums(1,2,3)</f>
        <v>9</v>
      </c>
      <c r="F10" s="9"/>
    </row>
    <row r="11" spans="1:11" x14ac:dyDescent="0.3">
      <c r="A11" s="2" t="s">
        <v>3</v>
      </c>
      <c r="B11" t="b">
        <f>NOT(ISERROR(FIND("Error",C11)))</f>
        <v>1</v>
      </c>
      <c r="C11" t="str">
        <f>pySumNums(1,2,3.2)</f>
        <v>Error in arg 3 'a': Cannot convert '3.2': Expected int</v>
      </c>
      <c r="D11" s="8" t="str">
        <f>pySumNums(1,2,3.2)</f>
        <v>Error in arg 3 'a': Cannot convert '3.2': Expected int</v>
      </c>
    </row>
    <row r="12" spans="1:11" x14ac:dyDescent="0.3">
      <c r="B12" s="19" t="b">
        <f>AND(B8:B11)</f>
        <v>1</v>
      </c>
    </row>
    <row r="14" spans="1:11" x14ac:dyDescent="0.3">
      <c r="A14" s="2" t="s">
        <v>5</v>
      </c>
      <c r="B14" t="b">
        <f>D14=C14</f>
        <v>1</v>
      </c>
      <c r="C14">
        <v>3</v>
      </c>
      <c r="D14" s="6">
        <f>pyRoundTrip(C14)</f>
        <v>3</v>
      </c>
    </row>
    <row r="15" spans="1:11" x14ac:dyDescent="0.3">
      <c r="A15" s="2" t="s">
        <v>6</v>
      </c>
      <c r="B15" t="b">
        <f>D15=C15</f>
        <v>1</v>
      </c>
      <c r="C15">
        <v>3.3</v>
      </c>
      <c r="D15" s="6">
        <f>pyRoundTrip(C15)</f>
        <v>3.3</v>
      </c>
    </row>
    <row r="16" spans="1:11" x14ac:dyDescent="0.3">
      <c r="A16" s="2" t="s">
        <v>7</v>
      </c>
      <c r="B16" t="b">
        <f>D16=C16</f>
        <v>1</v>
      </c>
      <c r="C16" s="3">
        <v>42736</v>
      </c>
      <c r="D16" s="7">
        <f>pyRoundTrip(C16)</f>
        <v>42736</v>
      </c>
      <c r="E16" s="3"/>
    </row>
    <row r="17" spans="1:10" x14ac:dyDescent="0.3">
      <c r="A17" s="2" t="s">
        <v>8</v>
      </c>
      <c r="B17" t="b">
        <f>C17=D17</f>
        <v>1</v>
      </c>
      <c r="C17">
        <f>SUM(G17:I17)</f>
        <v>6</v>
      </c>
      <c r="D17" s="6">
        <f>SUM(pyRoundTrip(G17:I17))</f>
        <v>6</v>
      </c>
      <c r="G17" s="10">
        <v>1</v>
      </c>
      <c r="H17" s="10">
        <v>2</v>
      </c>
      <c r="I17" s="10">
        <v>3</v>
      </c>
    </row>
    <row r="18" spans="1:10" x14ac:dyDescent="0.3">
      <c r="A18" s="2" t="s">
        <v>9</v>
      </c>
      <c r="B18" t="b">
        <f>ISNA(D18)</f>
        <v>1</v>
      </c>
      <c r="C18" t="e">
        <f>NA()</f>
        <v>#N/A</v>
      </c>
      <c r="D18" s="6" t="e">
        <f>(pyRoundTrip(G18:I18))</f>
        <v>#N/A</v>
      </c>
    </row>
    <row r="19" spans="1:10" x14ac:dyDescent="0.3">
      <c r="A19" s="2" t="s">
        <v>24</v>
      </c>
      <c r="B19" t="b">
        <f>C19=D19</f>
        <v>1</v>
      </c>
      <c r="C19">
        <f>C17</f>
        <v>6</v>
      </c>
      <c r="D19" s="6">
        <f>SUM(pyRoundTrip(_xll.xloRef(G17:I17)))</f>
        <v>6</v>
      </c>
    </row>
    <row r="20" spans="1:10" x14ac:dyDescent="0.3">
      <c r="A20" s="2"/>
      <c r="B20" s="19" t="b">
        <f>AND(B14:B19)</f>
        <v>1</v>
      </c>
    </row>
    <row r="22" spans="1:10" x14ac:dyDescent="0.3">
      <c r="A22" s="2" t="s">
        <v>10</v>
      </c>
      <c r="B22" t="b">
        <f>C22=D22</f>
        <v>1</v>
      </c>
      <c r="C22">
        <f t="array" ref="C22">SUM(H22:J22*G22)</f>
        <v>18.600000000000001</v>
      </c>
      <c r="D22" s="6">
        <f>SUM(pyTestArr1d(H22:J22,G22))</f>
        <v>18.600000000000001</v>
      </c>
      <c r="G22" s="10">
        <v>3.1</v>
      </c>
      <c r="H22" s="10">
        <v>1</v>
      </c>
      <c r="I22" s="10">
        <v>2</v>
      </c>
      <c r="J22" s="10">
        <v>3</v>
      </c>
    </row>
    <row r="23" spans="1:10" x14ac:dyDescent="0.3">
      <c r="A23" s="2" t="s">
        <v>11</v>
      </c>
      <c r="B23" t="b">
        <f>NOT(ISERROR(FIND("Error",D23)))</f>
        <v>1</v>
      </c>
      <c r="C23" t="s">
        <v>15</v>
      </c>
      <c r="D23" s="6" t="str">
        <f>pyTestArr1d(H23:J24,G23)</f>
        <v>Error in arg 1 'x': Failed reading [2 x 3]: Expecting a 1-dim array</v>
      </c>
      <c r="G23" s="10">
        <v>3.1</v>
      </c>
      <c r="H23" s="10">
        <v>1</v>
      </c>
      <c r="I23" s="10">
        <v>2</v>
      </c>
      <c r="J23" s="10">
        <v>3</v>
      </c>
    </row>
    <row r="24" spans="1:10" x14ac:dyDescent="0.3">
      <c r="B24" s="19" t="b">
        <f>AND(B22:B23)</f>
        <v>1</v>
      </c>
      <c r="G24" s="10"/>
      <c r="H24" s="10">
        <v>4</v>
      </c>
      <c r="I24" s="10">
        <v>5</v>
      </c>
      <c r="J24" s="10">
        <v>6</v>
      </c>
    </row>
    <row r="27" spans="1:10" x14ac:dyDescent="0.3">
      <c r="A27" s="2" t="s">
        <v>12</v>
      </c>
      <c r="B27" t="b">
        <f>C27=D27</f>
        <v>1</v>
      </c>
      <c r="C27">
        <f>SUM(G27:H28)</f>
        <v>10</v>
      </c>
      <c r="D27" s="6">
        <f>SUM(pyTestArr2d(G27:H28))</f>
        <v>10</v>
      </c>
      <c r="G27" s="10">
        <v>1</v>
      </c>
      <c r="H27" s="10">
        <v>2</v>
      </c>
    </row>
    <row r="28" spans="1:10" x14ac:dyDescent="0.3">
      <c r="A28" s="2" t="s">
        <v>25</v>
      </c>
      <c r="B28" t="b">
        <f>C28=D28</f>
        <v>1</v>
      </c>
      <c r="C28">
        <f>C27</f>
        <v>10</v>
      </c>
      <c r="D28" s="6">
        <f>SUM(pyTestArr2d(_xll.xloRef(G27:H28)))</f>
        <v>10</v>
      </c>
      <c r="G28" s="10">
        <v>3</v>
      </c>
      <c r="H28" s="10">
        <v>4</v>
      </c>
    </row>
    <row r="29" spans="1:10" x14ac:dyDescent="0.3">
      <c r="A29" s="2" t="s">
        <v>64</v>
      </c>
      <c r="B29" t="b">
        <f>C29=D29</f>
        <v>1</v>
      </c>
      <c r="C29">
        <f>C28</f>
        <v>10</v>
      </c>
      <c r="D29" s="6">
        <f>SUM(_xll.pyTestFastArr(G27:H28))</f>
        <v>10</v>
      </c>
      <c r="G29" s="10"/>
      <c r="H29" s="10"/>
    </row>
    <row r="30" spans="1:10" x14ac:dyDescent="0.3">
      <c r="A30" s="2"/>
      <c r="B30" s="19" t="b">
        <f>AND(B27:B28)</f>
        <v>1</v>
      </c>
    </row>
    <row r="32" spans="1:10" x14ac:dyDescent="0.3">
      <c r="A32" s="2" t="s">
        <v>21</v>
      </c>
      <c r="B32" t="b">
        <f>H32=E32</f>
        <v>0</v>
      </c>
      <c r="D32" s="6" t="str">
        <f t="array" ref="D32:E33">pyTestKwargs(G32:H32,G33:H33)</f>
        <v>parrot</v>
      </c>
      <c r="E32" s="6" t="str">
        <v>parrot</v>
      </c>
      <c r="G32" s="10" t="s">
        <v>17</v>
      </c>
      <c r="H32" s="10" t="s">
        <v>19</v>
      </c>
    </row>
    <row r="33" spans="1:9" x14ac:dyDescent="0.3">
      <c r="A33" s="2"/>
      <c r="B33" t="b">
        <f>E33=H33</f>
        <v>1</v>
      </c>
      <c r="D33" s="6" t="str">
        <v>parrot</v>
      </c>
      <c r="E33" s="6" t="str">
        <v>parrot</v>
      </c>
      <c r="G33" s="10" t="s">
        <v>18</v>
      </c>
      <c r="H33" s="10" t="s">
        <v>20</v>
      </c>
    </row>
    <row r="34" spans="1:9" x14ac:dyDescent="0.3">
      <c r="B34" s="19" t="b">
        <f>AND(B32:B33)</f>
        <v>0</v>
      </c>
    </row>
    <row r="35" spans="1:9" x14ac:dyDescent="0.3">
      <c r="A35" s="2"/>
    </row>
    <row r="36" spans="1:9" x14ac:dyDescent="0.3">
      <c r="A36" s="2" t="s">
        <v>65</v>
      </c>
      <c r="B36" t="b">
        <f>D36=C36</f>
        <v>1</v>
      </c>
      <c r="C36">
        <f>3*SUM(G37:I37)</f>
        <v>18</v>
      </c>
      <c r="D36" s="6" cm="1">
        <f t="array" ref="D36">pyTestVargs(G37,H37,I37)</f>
        <v>18</v>
      </c>
      <c r="G36" t="s">
        <v>30</v>
      </c>
      <c r="H36" t="s">
        <v>27</v>
      </c>
      <c r="I36" t="s">
        <v>28</v>
      </c>
    </row>
    <row r="37" spans="1:9" x14ac:dyDescent="0.3">
      <c r="A37" s="2"/>
      <c r="B37" t="b">
        <f>D37=C37</f>
        <v>1</v>
      </c>
      <c r="C37">
        <f>SUM(G37:I37)*2</f>
        <v>12</v>
      </c>
      <c r="D37" s="6" cm="1">
        <f t="array" ref="D37">pyTestVargsKwargs(TRANSPOSE(G36:I37),G37,H37,I37)</f>
        <v>12</v>
      </c>
      <c r="G37" s="10">
        <v>1</v>
      </c>
      <c r="H37" s="10">
        <v>2</v>
      </c>
      <c r="I37" s="10">
        <v>3</v>
      </c>
    </row>
    <row r="38" spans="1:9" x14ac:dyDescent="0.3">
      <c r="A38" s="2"/>
      <c r="B38" s="19" t="b">
        <f>AND(B36:B37)</f>
        <v>1</v>
      </c>
    </row>
    <row r="39" spans="1:9" x14ac:dyDescent="0.3">
      <c r="A39" s="2"/>
      <c r="B39" s="2"/>
    </row>
    <row r="40" spans="1:9" x14ac:dyDescent="0.3">
      <c r="A40" s="2" t="s">
        <v>23</v>
      </c>
      <c r="B40" t="b">
        <f>C40=D40</f>
        <v>1</v>
      </c>
      <c r="C40" t="s">
        <v>22</v>
      </c>
      <c r="D40" s="6" t="str">
        <f>pyTestCache(G40)</f>
        <v>Hello world</v>
      </c>
      <c r="G40" t="str">
        <f>pyTestCache()</f>
        <v>欣[PythonTest.xlsm]Test 1!R40C7CustomObj,A</v>
      </c>
    </row>
    <row r="41" spans="1:9" x14ac:dyDescent="0.3">
      <c r="A41" s="2" t="s">
        <v>51</v>
      </c>
      <c r="B41" t="b">
        <f>INDEX(_xll.xloVal(D41),1,1)=C41</f>
        <v>0</v>
      </c>
      <c r="C41" t="str">
        <f>G32</f>
        <v>Foo</v>
      </c>
      <c r="D41" s="6" t="str">
        <f>pyTestToCache(G32:H33)</f>
        <v>永[PythonTest.xlsm]Test 1!R41C4,A</v>
      </c>
    </row>
    <row r="42" spans="1:9" x14ac:dyDescent="0.3">
      <c r="B42" s="19" t="b">
        <f>AND(B40:B41)</f>
        <v>0</v>
      </c>
    </row>
    <row r="44" spans="1:9" ht="13.8" customHeight="1" x14ac:dyDescent="0.3"/>
    <row r="45" spans="1:9" x14ac:dyDescent="0.3">
      <c r="A45" s="2" t="s">
        <v>26</v>
      </c>
      <c r="B45" s="19" t="b">
        <f>C45=D45</f>
        <v>1</v>
      </c>
      <c r="C45">
        <v>4</v>
      </c>
      <c r="D45" s="6">
        <f>SUM(pyTestIter(4,1))</f>
        <v>4</v>
      </c>
    </row>
    <row r="47" spans="1:9" x14ac:dyDescent="0.3">
      <c r="A47" s="2" t="s">
        <v>37</v>
      </c>
      <c r="B47" s="19" t="b">
        <f>C47=D47</f>
        <v>1</v>
      </c>
      <c r="C47" t="s">
        <v>61</v>
      </c>
      <c r="D47" t="str">
        <f>pyTestCom()</f>
        <v>{90160000-000F-0000-1000-0000000FF1CE}</v>
      </c>
    </row>
    <row r="48" spans="1:9" x14ac:dyDescent="0.3">
      <c r="A48" s="2"/>
    </row>
    <row r="49" spans="1:11" x14ac:dyDescent="0.3">
      <c r="A49" s="2" t="s">
        <v>38</v>
      </c>
      <c r="B49" s="19" t="b">
        <f ca="1">C49=SUBSTITUTE(D49, "'","")</f>
        <v>1</v>
      </c>
      <c r="C49" s="4" t="str">
        <f ca="1">MID(CELL("filename"),FIND("[",CELL("filename")),100)&amp;"!"&amp;ADDRESS(ROW(H50),COLUMN(H50),4)</f>
        <v>[PythonTest.xlsm]Test 1!H50</v>
      </c>
      <c r="D49" s="8" t="str">
        <f>pyTestRange(G49:H50)</f>
        <v>'[PythonTest.xlsm]Test 1'!H50</v>
      </c>
      <c r="E49" s="4"/>
      <c r="G49" s="10">
        <v>1</v>
      </c>
      <c r="H49" s="10">
        <v>2</v>
      </c>
    </row>
    <row r="50" spans="1:11" x14ac:dyDescent="0.3">
      <c r="A50" s="2"/>
      <c r="G50" s="10">
        <v>3</v>
      </c>
      <c r="H50" s="10">
        <v>4</v>
      </c>
    </row>
    <row r="51" spans="1:11" x14ac:dyDescent="0.3">
      <c r="A51" s="2"/>
    </row>
    <row r="52" spans="1:11" x14ac:dyDescent="0.3">
      <c r="A52" s="2" t="s">
        <v>29</v>
      </c>
      <c r="B52" t="b">
        <f>C52=D52</f>
        <v>1</v>
      </c>
      <c r="C52">
        <v>2</v>
      </c>
      <c r="D52" s="6">
        <f>pyTestCustomConv(1)</f>
        <v>2</v>
      </c>
    </row>
    <row r="53" spans="1:11" x14ac:dyDescent="0.3">
      <c r="A53" s="2"/>
      <c r="B53" t="b">
        <f>C53=D53</f>
        <v>1</v>
      </c>
      <c r="C53">
        <f>2*SUM(G53:H53)</f>
        <v>14</v>
      </c>
      <c r="D53" s="6">
        <f>SUM(pyTestCustomConv(G53:H53))</f>
        <v>14</v>
      </c>
      <c r="G53" s="10">
        <v>3</v>
      </c>
      <c r="H53" s="10">
        <v>4</v>
      </c>
    </row>
    <row r="54" spans="1:11" x14ac:dyDescent="0.3">
      <c r="B54" s="19" t="b">
        <f>AND(B52:B53)</f>
        <v>1</v>
      </c>
    </row>
    <row r="55" spans="1:11" x14ac:dyDescent="0.3">
      <c r="A55" s="2"/>
    </row>
    <row r="56" spans="1:11" x14ac:dyDescent="0.3">
      <c r="A56" s="2" t="s">
        <v>31</v>
      </c>
      <c r="B56" t="b">
        <f>C56=D56</f>
        <v>1</v>
      </c>
      <c r="C56">
        <f>H57</f>
        <v>2</v>
      </c>
      <c r="D56" s="6">
        <f>pyTestFrameFetch(J56,,"B")</f>
        <v>2</v>
      </c>
      <c r="G56" s="11" t="s">
        <v>30</v>
      </c>
      <c r="H56" s="11" t="s">
        <v>27</v>
      </c>
      <c r="I56" s="11" t="s">
        <v>28</v>
      </c>
      <c r="J56" s="12" t="str">
        <f>pyTestDFrame(G56:I57)</f>
        <v>欣[PythonTest.xlsm]Test 1!R56C10DataFrame,A</v>
      </c>
    </row>
    <row r="57" spans="1:11" x14ac:dyDescent="0.3">
      <c r="A57" s="2"/>
      <c r="G57" s="11">
        <v>1</v>
      </c>
      <c r="H57" s="11">
        <v>2</v>
      </c>
      <c r="I57" s="11">
        <v>3</v>
      </c>
    </row>
    <row r="58" spans="1:11" x14ac:dyDescent="0.3">
      <c r="A58" s="2"/>
    </row>
    <row r="59" spans="1:11" x14ac:dyDescent="0.3">
      <c r="A59" s="2" t="s">
        <v>32</v>
      </c>
      <c r="B59" t="b">
        <f>C59=D59</f>
        <v>1</v>
      </c>
      <c r="C59" t="str">
        <f>I60</f>
        <v>Foo</v>
      </c>
      <c r="D59" s="6" t="str">
        <f>pyTestFrameFetch(K59,0,I59)</f>
        <v>Foo</v>
      </c>
      <c r="G59" s="10" t="s">
        <v>33</v>
      </c>
      <c r="H59" s="10" t="s">
        <v>30</v>
      </c>
      <c r="I59" s="10" t="s">
        <v>68</v>
      </c>
      <c r="J59" s="10" t="s">
        <v>67</v>
      </c>
      <c r="K59" s="12" t="str">
        <f>pyTestDFrameIndex(G59:J61)</f>
        <v>欣[PythonTest.xlsm]Test 1!R59C11,A</v>
      </c>
    </row>
    <row r="60" spans="1:11" x14ac:dyDescent="0.3">
      <c r="A60" s="2"/>
      <c r="B60" t="b">
        <f>C60=D60</f>
        <v>1</v>
      </c>
      <c r="C60">
        <f>H61</f>
        <v>2.1</v>
      </c>
      <c r="D60" s="6">
        <f t="array" ref="D60:D61">pyTestFrameFetch(K59,1)</f>
        <v>2.1</v>
      </c>
      <c r="G60" s="24">
        <v>0</v>
      </c>
      <c r="H60" s="10">
        <v>5.3</v>
      </c>
      <c r="I60" s="10" t="s">
        <v>17</v>
      </c>
      <c r="J60" s="13">
        <v>45026</v>
      </c>
    </row>
    <row r="61" spans="1:11" x14ac:dyDescent="0.3">
      <c r="A61" s="2"/>
      <c r="B61" t="b">
        <f>C61=D61</f>
        <v>1</v>
      </c>
      <c r="C61" t="str">
        <f>I61</f>
        <v>Bar</v>
      </c>
      <c r="D61" s="6" t="str">
        <v>Bar</v>
      </c>
      <c r="G61" s="24">
        <v>1</v>
      </c>
      <c r="H61" s="10">
        <v>2.1</v>
      </c>
      <c r="I61" s="10" t="s">
        <v>18</v>
      </c>
      <c r="J61" s="13">
        <v>45027</v>
      </c>
    </row>
    <row r="62" spans="1:11" x14ac:dyDescent="0.3">
      <c r="A62" s="2"/>
      <c r="D62" s="6"/>
      <c r="G62" s="24">
        <v>2</v>
      </c>
      <c r="H62" s="10">
        <v>4.0999999999999996</v>
      </c>
      <c r="I62" s="10" t="s">
        <v>17</v>
      </c>
      <c r="J62" s="13">
        <v>45027</v>
      </c>
    </row>
    <row r="63" spans="1:11" x14ac:dyDescent="0.3">
      <c r="A63" s="2"/>
    </row>
    <row r="64" spans="1:11" x14ac:dyDescent="0.3">
      <c r="A64" s="2" t="s">
        <v>47</v>
      </c>
      <c r="B64" t="b" cm="1">
        <f t="array" ref="B64">SUM(ABS(D65:E66-G60:H61))=0</f>
        <v>1</v>
      </c>
      <c r="C64" s="23"/>
      <c r="D64" s="6" t="str" cm="1">
        <f t="array" ref="D64:G66">pyTestFrameFetch(K59)</f>
        <v>Time</v>
      </c>
      <c r="E64" s="6" t="str">
        <v>A</v>
      </c>
      <c r="F64" s="6" t="str">
        <v>Food</v>
      </c>
      <c r="G64" s="6" t="str">
        <v>Date</v>
      </c>
    </row>
    <row r="65" spans="1:12" x14ac:dyDescent="0.3">
      <c r="D65" s="6">
        <v>0</v>
      </c>
      <c r="E65" s="6">
        <v>5.3</v>
      </c>
      <c r="F65" s="6" t="str">
        <v>Foo</v>
      </c>
      <c r="G65" s="6">
        <v>45026</v>
      </c>
    </row>
    <row r="66" spans="1:12" ht="15" customHeight="1" x14ac:dyDescent="0.3">
      <c r="D66" s="6">
        <v>1</v>
      </c>
      <c r="E66" s="6">
        <v>2.1</v>
      </c>
      <c r="F66" s="6" t="str">
        <v>Bar</v>
      </c>
      <c r="G66" s="6">
        <v>45027</v>
      </c>
    </row>
    <row r="67" spans="1:12" ht="15" customHeight="1" x14ac:dyDescent="0.3"/>
    <row r="68" spans="1:12" ht="15" customHeight="1" x14ac:dyDescent="0.3">
      <c r="D68" s="6" t="str" cm="1">
        <f t="array" ref="D68:G71">pyTestDFrameMultiIndex(I68:L71,TRUE)</f>
        <v>Clock</v>
      </c>
      <c r="E68" s="6" t="str">
        <v>Category</v>
      </c>
      <c r="F68" s="6" t="str">
        <v>Category</v>
      </c>
      <c r="G68" s="6" t="str">
        <v>Clock</v>
      </c>
      <c r="I68" s="10" t="s">
        <v>70</v>
      </c>
      <c r="J68" s="10" t="s">
        <v>70</v>
      </c>
      <c r="K68" s="10" t="s">
        <v>71</v>
      </c>
      <c r="L68" s="10" t="s">
        <v>71</v>
      </c>
    </row>
    <row r="69" spans="1:12" ht="15" customHeight="1" x14ac:dyDescent="0.3">
      <c r="A69" t="s">
        <v>69</v>
      </c>
      <c r="B69" t="b" cm="1">
        <f t="array" ref="B69">SUM((D68:D71=L68:L71)+0)=4</f>
        <v>1</v>
      </c>
      <c r="D69" s="6" t="str">
        <v>Date</v>
      </c>
      <c r="E69" s="6" t="str">
        <v>Type</v>
      </c>
      <c r="F69" s="6" t="str">
        <v>A</v>
      </c>
      <c r="G69" s="6" t="str">
        <v>Time</v>
      </c>
      <c r="I69" s="10" t="s">
        <v>72</v>
      </c>
      <c r="J69" s="10" t="s">
        <v>30</v>
      </c>
      <c r="K69" s="10" t="s">
        <v>33</v>
      </c>
      <c r="L69" s="10" t="s">
        <v>67</v>
      </c>
    </row>
    <row r="70" spans="1:12" ht="15" customHeight="1" x14ac:dyDescent="0.3">
      <c r="D70" s="6">
        <v>45027</v>
      </c>
      <c r="E70" s="6" t="str">
        <v>Bar</v>
      </c>
      <c r="F70" s="6">
        <v>2.1</v>
      </c>
      <c r="G70" s="6">
        <v>1</v>
      </c>
      <c r="I70" s="10" t="s">
        <v>18</v>
      </c>
      <c r="J70" s="10">
        <v>2.1</v>
      </c>
      <c r="K70" s="10">
        <v>1</v>
      </c>
      <c r="L70" s="13">
        <v>45027</v>
      </c>
    </row>
    <row r="71" spans="1:12" x14ac:dyDescent="0.3">
      <c r="D71" s="6">
        <v>45027</v>
      </c>
      <c r="E71" s="6" t="str">
        <v>Foo</v>
      </c>
      <c r="F71" s="6">
        <v>4.0999999999999996</v>
      </c>
      <c r="G71" s="6">
        <v>2</v>
      </c>
      <c r="I71" s="10" t="s">
        <v>17</v>
      </c>
      <c r="J71" s="10">
        <v>4.0999999999999996</v>
      </c>
      <c r="K71" s="10">
        <v>2</v>
      </c>
      <c r="L71" s="13">
        <v>45027</v>
      </c>
    </row>
    <row r="73" spans="1:12" x14ac:dyDescent="0.3">
      <c r="A73" t="s">
        <v>77</v>
      </c>
      <c r="B73" t="b" cm="1">
        <f t="array" ref="B73">SUM((IFERROR(E73:G79,666)=IFERROR(I73:K79,666))+0)=COUNTA(E73:G79)</f>
        <v>1</v>
      </c>
      <c r="D73" s="6" t="e" cm="1">
        <f t="array" ref="D73:G79">pyTestDFrameNaNs()</f>
        <v>#N/A</v>
      </c>
      <c r="E73" s="6" t="str">
        <v>numbers</v>
      </c>
      <c r="F73" s="6" t="str">
        <v>dates</v>
      </c>
      <c r="G73" s="6" t="str">
        <v>objects</v>
      </c>
      <c r="I73" t="s">
        <v>73</v>
      </c>
      <c r="J73" t="s">
        <v>74</v>
      </c>
      <c r="K73" t="s">
        <v>75</v>
      </c>
    </row>
    <row r="74" spans="1:12" x14ac:dyDescent="0.3">
      <c r="D74" s="6">
        <v>0</v>
      </c>
      <c r="E74" s="6">
        <v>1</v>
      </c>
      <c r="F74" s="6">
        <v>45139</v>
      </c>
      <c r="G74" s="6" t="e">
        <v>#N/A</v>
      </c>
      <c r="I74">
        <v>1</v>
      </c>
      <c r="J74">
        <v>45139</v>
      </c>
      <c r="K74" t="e">
        <v>#N/A</v>
      </c>
    </row>
    <row r="75" spans="1:12" x14ac:dyDescent="0.3">
      <c r="D75" s="6">
        <v>1</v>
      </c>
      <c r="E75" s="6">
        <v>2</v>
      </c>
      <c r="F75" s="6" t="e">
        <v>#N/A</v>
      </c>
      <c r="G75" s="6">
        <v>42</v>
      </c>
      <c r="I75">
        <v>2</v>
      </c>
      <c r="J75" t="e">
        <v>#N/A</v>
      </c>
      <c r="K75">
        <v>42</v>
      </c>
    </row>
    <row r="76" spans="1:12" x14ac:dyDescent="0.3">
      <c r="D76" s="6">
        <v>2</v>
      </c>
      <c r="E76" s="6" t="e">
        <v>#N/A</v>
      </c>
      <c r="F76" s="6">
        <v>45140</v>
      </c>
      <c r="G76" s="6">
        <v>25204</v>
      </c>
      <c r="I76" t="e">
        <v>#N/A</v>
      </c>
      <c r="J76">
        <v>45140</v>
      </c>
      <c r="K76">
        <v>25204</v>
      </c>
    </row>
    <row r="77" spans="1:12" x14ac:dyDescent="0.3">
      <c r="D77" s="6">
        <v>3</v>
      </c>
      <c r="E77" s="6">
        <v>3</v>
      </c>
      <c r="F77" s="6" t="e">
        <v>#N/A</v>
      </c>
      <c r="G77" s="6" t="str">
        <v>Foo</v>
      </c>
      <c r="I77">
        <v>3</v>
      </c>
      <c r="J77" t="e">
        <v>#N/A</v>
      </c>
      <c r="K77" t="s">
        <v>17</v>
      </c>
    </row>
    <row r="78" spans="1:12" x14ac:dyDescent="0.3">
      <c r="D78" s="6">
        <v>4</v>
      </c>
      <c r="E78" s="6">
        <v>4</v>
      </c>
      <c r="F78" s="6" t="e">
        <v>#N/A</v>
      </c>
      <c r="G78" s="6" t="e">
        <v>#N/A</v>
      </c>
      <c r="I78">
        <v>4</v>
      </c>
      <c r="J78" t="e">
        <v>#N/A</v>
      </c>
      <c r="K78" t="e">
        <v>#N/A</v>
      </c>
    </row>
    <row r="79" spans="1:12" x14ac:dyDescent="0.3">
      <c r="D79" s="6">
        <v>5</v>
      </c>
      <c r="E79" s="6">
        <v>5</v>
      </c>
      <c r="F79" s="6">
        <v>45140</v>
      </c>
      <c r="G79" s="6" t="str">
        <v>&lt;class 'int'&gt;</v>
      </c>
      <c r="I79">
        <v>5</v>
      </c>
      <c r="J79">
        <v>45140</v>
      </c>
      <c r="K79" t="s">
        <v>76</v>
      </c>
    </row>
    <row r="81" spans="1:7" x14ac:dyDescent="0.3">
      <c r="B81" t="b" cm="1">
        <f t="array" ref="B81">SUM(ABS(D82:E82-G60:H60))=0</f>
        <v>1</v>
      </c>
      <c r="D81" s="6" t="str">
        <f t="array" ref="D81:F82">pyTestFrameWrite(K59)</f>
        <v>Time</v>
      </c>
      <c r="E81" s="6" t="str">
        <v>A</v>
      </c>
      <c r="F81" s="6" t="str">
        <v>Food</v>
      </c>
    </row>
    <row r="82" spans="1:7" x14ac:dyDescent="0.3">
      <c r="D82" s="6">
        <v>0</v>
      </c>
      <c r="E82" s="6">
        <v>5.3</v>
      </c>
      <c r="F82" s="6" t="str">
        <v>Foo</v>
      </c>
    </row>
    <row r="83" spans="1:7" x14ac:dyDescent="0.3">
      <c r="B83" s="19" t="b">
        <f>AND(B56:B82)</f>
        <v>1</v>
      </c>
    </row>
    <row r="85" spans="1:7" x14ac:dyDescent="0.3">
      <c r="A85" s="2" t="s">
        <v>34</v>
      </c>
      <c r="B85" t="b">
        <f>C85=D85</f>
        <v>1</v>
      </c>
      <c r="C85" s="3">
        <f>G85+1</f>
        <v>42737</v>
      </c>
      <c r="D85" s="7">
        <f>pyTestDate(G85)</f>
        <v>42737</v>
      </c>
      <c r="E85" s="3"/>
      <c r="G85" s="13">
        <v>42736</v>
      </c>
    </row>
    <row r="86" spans="1:7" x14ac:dyDescent="0.3">
      <c r="B86" t="b">
        <f>D86=C86</f>
        <v>1</v>
      </c>
      <c r="C86" s="3">
        <v>42768</v>
      </c>
      <c r="D86" s="7">
        <f>pyTestDate(G86)</f>
        <v>42768</v>
      </c>
      <c r="E86" s="3"/>
      <c r="G86" s="14" t="s">
        <v>35</v>
      </c>
    </row>
    <row r="87" spans="1:7" x14ac:dyDescent="0.3">
      <c r="B87" s="19" t="b">
        <f>AND(B85:B86)</f>
        <v>1</v>
      </c>
    </row>
    <row r="89" spans="1:7" x14ac:dyDescent="0.3">
      <c r="A89" s="2" t="s">
        <v>39</v>
      </c>
      <c r="B89" s="19" t="b">
        <f>E95&lt;&gt;F95</f>
        <v>1</v>
      </c>
      <c r="D89" t="s">
        <v>40</v>
      </c>
      <c r="E89">
        <v>3</v>
      </c>
      <c r="F89">
        <v>1</v>
      </c>
      <c r="G89">
        <v>4</v>
      </c>
    </row>
    <row r="90" spans="1:7" x14ac:dyDescent="0.3">
      <c r="A90" t="s">
        <v>46</v>
      </c>
      <c r="D90" t="s">
        <v>41</v>
      </c>
      <c r="E90">
        <v>3</v>
      </c>
      <c r="F90">
        <v>2</v>
      </c>
      <c r="G90">
        <v>7</v>
      </c>
    </row>
    <row r="91" spans="1:7" x14ac:dyDescent="0.3">
      <c r="D91" t="s">
        <v>42</v>
      </c>
      <c r="E91">
        <v>500</v>
      </c>
      <c r="F91">
        <f>E91</f>
        <v>500</v>
      </c>
      <c r="G91">
        <f>E91</f>
        <v>500</v>
      </c>
    </row>
    <row r="92" spans="1:7" x14ac:dyDescent="0.3">
      <c r="D92" t="s">
        <v>43</v>
      </c>
      <c r="E92">
        <f>E91</f>
        <v>500</v>
      </c>
      <c r="F92">
        <f>E92</f>
        <v>500</v>
      </c>
      <c r="G92">
        <f>E92</f>
        <v>500</v>
      </c>
    </row>
    <row r="93" spans="1:7" x14ac:dyDescent="0.3">
      <c r="D93" t="s">
        <v>44</v>
      </c>
      <c r="E93">
        <f>E92</f>
        <v>500</v>
      </c>
      <c r="F93">
        <f>E93</f>
        <v>500</v>
      </c>
      <c r="G93">
        <f>E93</f>
        <v>500</v>
      </c>
    </row>
    <row r="94" spans="1:7" x14ac:dyDescent="0.3">
      <c r="D94" t="s">
        <v>45</v>
      </c>
      <c r="E94">
        <f>E93</f>
        <v>500</v>
      </c>
      <c r="F94">
        <f>E94</f>
        <v>500</v>
      </c>
      <c r="G94">
        <f>E94</f>
        <v>500</v>
      </c>
    </row>
    <row r="95" spans="1:7" x14ac:dyDescent="0.3">
      <c r="E95" s="6">
        <f>_xll.pyThreadTest(E89,E90,E91,E92,E93,E94)</f>
        <v>14204</v>
      </c>
      <c r="F95" s="6">
        <f>_xll.pyThreadTest(F89,F90,F91,F92,F93,F94)</f>
        <v>10180</v>
      </c>
      <c r="G95" s="6">
        <f>_xll.pyThreadTest(G89,G90,G91,G92,G93,G94)</f>
        <v>30000</v>
      </c>
    </row>
    <row r="98" spans="1:8" x14ac:dyDescent="0.3">
      <c r="A98" s="2" t="s">
        <v>66</v>
      </c>
      <c r="B98" s="19" t="b">
        <f>C98=D99</f>
        <v>1</v>
      </c>
      <c r="C98" t="s">
        <v>48</v>
      </c>
      <c r="D98" t="str" cm="1">
        <f t="array" ref="D98">_xll.xloImport(pyWbPath()&amp;"\TestModule.py", "*")</f>
        <v>Loaded C:\Users\Steven\dev\xloil_build\tests\AutoSheets\TestModule.py</v>
      </c>
    </row>
    <row r="99" spans="1:8" x14ac:dyDescent="0.3">
      <c r="A99" t="s">
        <v>49</v>
      </c>
      <c r="B99" s="19" t="b">
        <f>C101=D101</f>
        <v>1</v>
      </c>
      <c r="D99" s="6" t="str">
        <f>_xll.pyTestLoadMod()</f>
        <v>Great Success!</v>
      </c>
    </row>
    <row r="100" spans="1:8" x14ac:dyDescent="0.3">
      <c r="D100" t="str" cm="1">
        <f t="array" ref="D100">_xll.pyFooBar(1)</f>
        <v>欣[PythonTest.xlsm]Test 1!R100C4pyFooBar,A</v>
      </c>
    </row>
    <row r="101" spans="1:8" x14ac:dyDescent="0.3">
      <c r="C101">
        <v>16</v>
      </c>
      <c r="D101" cm="1">
        <f t="array" ref="D101">_xll.xloAttr(D100,"xplus",,3,4)</f>
        <v>16</v>
      </c>
    </row>
    <row r="103" spans="1:8" x14ac:dyDescent="0.3">
      <c r="A103" s="2" t="s">
        <v>50</v>
      </c>
      <c r="B103" s="19" t="b">
        <f>AND(D103=F103+1, D104=G103+1, D105=H103+1,D106=F104+1,D107=G104+1)</f>
        <v>1</v>
      </c>
      <c r="D103" s="6">
        <f t="array" ref="D103:D107">pyTestDateConv(F103:H104)</f>
        <v>43001</v>
      </c>
      <c r="F103" s="10">
        <v>43000</v>
      </c>
      <c r="G103" s="10">
        <v>44000</v>
      </c>
      <c r="H103" s="10">
        <v>45000.66</v>
      </c>
    </row>
    <row r="104" spans="1:8" x14ac:dyDescent="0.3">
      <c r="D104" s="6">
        <v>44001</v>
      </c>
      <c r="F104" s="10">
        <f>G103</f>
        <v>44000</v>
      </c>
      <c r="G104" s="10">
        <v>37000</v>
      </c>
      <c r="H104" s="10">
        <f>H103</f>
        <v>45000.66</v>
      </c>
    </row>
    <row r="105" spans="1:8" x14ac:dyDescent="0.3">
      <c r="D105" s="6">
        <v>45001.66</v>
      </c>
    </row>
    <row r="106" spans="1:8" x14ac:dyDescent="0.3">
      <c r="D106" s="6">
        <v>44001</v>
      </c>
    </row>
    <row r="107" spans="1:8" x14ac:dyDescent="0.3">
      <c r="D107" s="6">
        <v>37001</v>
      </c>
    </row>
    <row r="109" spans="1:8" x14ac:dyDescent="0.3">
      <c r="A109" s="2" t="s">
        <v>52</v>
      </c>
      <c r="B109" s="19" t="b">
        <f>C109:C110=D109:D110</f>
        <v>1</v>
      </c>
      <c r="C109">
        <v>0</v>
      </c>
      <c r="D109" s="6">
        <f>pyTestDynamic0()</f>
        <v>0</v>
      </c>
    </row>
    <row r="110" spans="1:8" x14ac:dyDescent="0.3">
      <c r="C110">
        <v>2</v>
      </c>
      <c r="D110" s="6">
        <f>pyTestDynamic2()</f>
        <v>2</v>
      </c>
    </row>
    <row r="112" spans="1:8" x14ac:dyDescent="0.3">
      <c r="A112" s="2" t="s">
        <v>53</v>
      </c>
      <c r="B112" s="19" t="b">
        <f>C112=D112</f>
        <v>1</v>
      </c>
      <c r="C112" t="str">
        <f>pyTestWorkbooks()</f>
        <v>PythonTest.xlsm</v>
      </c>
      <c r="D112" s="6" t="str">
        <f>pyTestWorkbooks()</f>
        <v>PythonTest.xlsm</v>
      </c>
    </row>
    <row r="114" spans="1:4" x14ac:dyDescent="0.3">
      <c r="A114" s="2" t="s">
        <v>56</v>
      </c>
      <c r="B114" s="19" t="b">
        <f>C114=D114</f>
        <v>1</v>
      </c>
      <c r="C114">
        <v>6</v>
      </c>
      <c r="D114" s="6">
        <f>pyTestExcelCall("sum",1,2,3)</f>
        <v>6</v>
      </c>
    </row>
    <row r="117" spans="1:4" x14ac:dyDescent="0.3">
      <c r="A117" s="2" t="s">
        <v>57</v>
      </c>
      <c r="B117" t="b">
        <f ca="1">C117=D117</f>
        <v>1</v>
      </c>
      <c r="C117" t="str">
        <f ca="1">"="&amp;SUBSTITUTE(CELL("address",C114)&amp;"="&amp;CELL("address",D114),"$","")</f>
        <v>=C114=D114</v>
      </c>
      <c r="D117" s="6" t="str">
        <f>pyTestExcelCall("getcell",6,Test_ExcelCall)</f>
        <v>=C114=D114</v>
      </c>
    </row>
    <row r="118" spans="1:4" x14ac:dyDescent="0.3">
      <c r="B118" t="b">
        <f ca="1">C118=D118</f>
        <v>1</v>
      </c>
      <c r="C118" t="str">
        <f ca="1">C117</f>
        <v>=C114=D114</v>
      </c>
      <c r="D118" s="6" t="str">
        <f ca="1">_xll.pyTestRangeFormula2(Test_ExcelCall)</f>
        <v>=C114=D114</v>
      </c>
    </row>
    <row r="119" spans="1:4" x14ac:dyDescent="0.3">
      <c r="B119" t="b">
        <f ca="1">C119=D119</f>
        <v>1</v>
      </c>
      <c r="C119" t="str">
        <f ca="1">C118</f>
        <v>=C114=D114</v>
      </c>
      <c r="D119" s="6" t="str">
        <f>pyTestRangeFormula(Test_ExcelCall)</f>
        <v>=C114=D114</v>
      </c>
    </row>
    <row r="120" spans="1:4" x14ac:dyDescent="0.3">
      <c r="B120" s="19" t="b">
        <f ca="1">AND(B117:B119)</f>
        <v>1</v>
      </c>
    </row>
    <row r="122" spans="1:4" x14ac:dyDescent="0.3">
      <c r="A122" s="2" t="s">
        <v>58</v>
      </c>
      <c r="B122" t="b">
        <f>C122=D122</f>
        <v>1</v>
      </c>
      <c r="C122" t="str">
        <f>C112</f>
        <v>PythonTest.xlsm</v>
      </c>
      <c r="D122" s="6" t="str">
        <f>pyTestAppRun("pyTestWorkbooks")</f>
        <v>PythonTest.xlsm</v>
      </c>
    </row>
    <row r="123" spans="1:4" x14ac:dyDescent="0.3">
      <c r="B123" t="b">
        <f>C123=D123</f>
        <v>1</v>
      </c>
      <c r="C123">
        <v>6</v>
      </c>
      <c r="D123" s="6">
        <f>pyTestAppRun("pySum",1,2,3)</f>
        <v>6</v>
      </c>
    </row>
    <row r="124" spans="1:4" x14ac:dyDescent="0.3">
      <c r="B124" t="b">
        <f ca="1">C124=SUBSTITUTE(D124, "'","")</f>
        <v>1</v>
      </c>
      <c r="C124" t="str">
        <f ca="1">MID(CELL("filename"),FIND("[",CELL("filename")),100)&amp;"!"&amp;ADDRESS(ROW(E123),COLUMN(E123),4)</f>
        <v>[PythonTest.xlsm]Test 1!E123</v>
      </c>
      <c r="D124" s="6" t="str">
        <f>pyTestAppRun("pyTestRange", D122)</f>
        <v>'[PythonTest.xlsm]Test 1'!E123</v>
      </c>
    </row>
    <row r="125" spans="1:4" x14ac:dyDescent="0.3">
      <c r="B125" s="19" t="b">
        <f ca="1">AND(B122:B124)</f>
        <v>1</v>
      </c>
    </row>
  </sheetData>
  <conditionalFormatting sqref="B8:B11 B14:B19 B21:B23 B25 B31:B33 B55:B60 B44:B53 B97 B88 B90:B95 B104:B108 B110:B111 B113 B27:B29 B35:B37 B40:B41">
    <cfRule type="expression" dxfId="17" priority="24">
      <formula>IFERROR(NOT(OR(ISBLANK(B8),B8)),TRUE)</formula>
    </cfRule>
  </conditionalFormatting>
  <conditionalFormatting sqref="B3">
    <cfRule type="expression" dxfId="16" priority="20">
      <formula>IFERROR(NOT(OR(ISBLANK(B3),B3)),TRUE)</formula>
    </cfRule>
  </conditionalFormatting>
  <conditionalFormatting sqref="B4:B6">
    <cfRule type="expression" dxfId="15" priority="19">
      <formula>IFERROR(NOT(OR(ISBLANK(B4),B4)),TRUE)</formula>
    </cfRule>
  </conditionalFormatting>
  <conditionalFormatting sqref="B61:B82 B84:B86">
    <cfRule type="expression" dxfId="14" priority="18">
      <formula>IFERROR(NOT(OR(ISBLANK(B61),B61)),TRUE)</formula>
    </cfRule>
  </conditionalFormatting>
  <conditionalFormatting sqref="B117:B119">
    <cfRule type="expression" dxfId="13" priority="17">
      <formula>IFERROR(NOT(OR(ISBLANK(B117),B117)),TRUE)</formula>
    </cfRule>
  </conditionalFormatting>
  <conditionalFormatting sqref="B122:B123">
    <cfRule type="expression" dxfId="12" priority="16">
      <formula>IFERROR(NOT(OR(ISBLANK(B122),B122)),TRUE)</formula>
    </cfRule>
  </conditionalFormatting>
  <conditionalFormatting sqref="B124">
    <cfRule type="expression" dxfId="11" priority="13">
      <formula>IFERROR(NOT(OR(ISBLANK(B124),B124)),TRUE)</formula>
    </cfRule>
  </conditionalFormatting>
  <conditionalFormatting sqref="B54">
    <cfRule type="expression" dxfId="10" priority="12">
      <formula>IFERROR(NOT(OR(ISBLANK(B54),B54)),TRUE)</formula>
    </cfRule>
  </conditionalFormatting>
  <conditionalFormatting sqref="B83">
    <cfRule type="expression" dxfId="9" priority="11">
      <formula>IFERROR(NOT(OR(ISBLANK(B83),B83)),TRUE)</formula>
    </cfRule>
  </conditionalFormatting>
  <conditionalFormatting sqref="B87">
    <cfRule type="expression" dxfId="8" priority="10">
      <formula>IFERROR(NOT(OR(ISBLANK(B87),B87)),TRUE)</formula>
    </cfRule>
  </conditionalFormatting>
  <conditionalFormatting sqref="B89">
    <cfRule type="expression" dxfId="7" priority="9">
      <formula>IFERROR(NOT(OR(ISBLANK(B89),B89)),TRUE)</formula>
    </cfRule>
  </conditionalFormatting>
  <conditionalFormatting sqref="B98:B99">
    <cfRule type="expression" dxfId="6" priority="8">
      <formula>IFERROR(NOT(OR(ISBLANK(B98),B98)),TRUE)</formula>
    </cfRule>
  </conditionalFormatting>
  <conditionalFormatting sqref="B103">
    <cfRule type="expression" dxfId="5" priority="7">
      <formula>IFERROR(NOT(OR(ISBLANK(B103),B103)),TRUE)</formula>
    </cfRule>
  </conditionalFormatting>
  <conditionalFormatting sqref="B109">
    <cfRule type="expression" dxfId="4" priority="6">
      <formula>IFERROR(NOT(OR(ISBLANK(B109),B109)),TRUE)</formula>
    </cfRule>
  </conditionalFormatting>
  <conditionalFormatting sqref="B112">
    <cfRule type="expression" dxfId="3" priority="5">
      <formula>IFERROR(NOT(OR(ISBLANK(B112),B112)),TRUE)</formula>
    </cfRule>
  </conditionalFormatting>
  <conditionalFormatting sqref="B114">
    <cfRule type="expression" dxfId="2" priority="4">
      <formula>IFERROR(NOT(OR(ISBLANK(B114),B114)),TRUE)</formula>
    </cfRule>
  </conditionalFormatting>
  <conditionalFormatting sqref="B120">
    <cfRule type="expression" dxfId="1" priority="3">
      <formula>IFERROR(NOT(OR(ISBLANK(B120),B120)),TRUE)</formula>
    </cfRule>
  </conditionalFormatting>
  <conditionalFormatting sqref="B125">
    <cfRule type="expression" dxfId="0" priority="1">
      <formula>IFERROR(NOT(OR(ISBLANK(B125),B125)),TRUE)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839A-BC1C-46EA-B0A5-B109F94CF562}">
  <sheetPr codeName="Sheet5"/>
  <dimension ref="A1:B1"/>
  <sheetViews>
    <sheetView workbookViewId="0">
      <selection activeCell="D4" sqref="D4"/>
    </sheetView>
  </sheetViews>
  <sheetFormatPr defaultRowHeight="14.4" x14ac:dyDescent="0.3"/>
  <sheetData>
    <row r="1" spans="1:2" x14ac:dyDescent="0.3">
      <c r="A1" t="s">
        <v>63</v>
      </c>
      <c r="B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Test 1</vt:lpstr>
      <vt:lpstr>{Settings}</vt:lpstr>
      <vt:lpstr>Settings_Wait</vt:lpstr>
      <vt:lpstr>Test_AppRun</vt:lpstr>
      <vt:lpstr>Test_Array1d</vt:lpstr>
      <vt:lpstr>Test_Array2d</vt:lpstr>
      <vt:lpstr>Test_Cache</vt:lpstr>
      <vt:lpstr>Test_ComBasic</vt:lpstr>
      <vt:lpstr>Test_CustomConverter</vt:lpstr>
      <vt:lpstr>Test_Dataframe</vt:lpstr>
      <vt:lpstr>Test_Date</vt:lpstr>
      <vt:lpstr>Test_DateConversion</vt:lpstr>
      <vt:lpstr>Test_DynamicRegistration</vt:lpstr>
      <vt:lpstr>Test_ExcelCall</vt:lpstr>
      <vt:lpstr>Test_ExternalLoad</vt:lpstr>
      <vt:lpstr>Test_GetFormula</vt:lpstr>
      <vt:lpstr>Test_IteratorReturn</vt:lpstr>
      <vt:lpstr>Test_Kwargs</vt:lpstr>
      <vt:lpstr>Test_RoundTrip</vt:lpstr>
      <vt:lpstr>Test_Sum</vt:lpstr>
      <vt:lpstr>Test_Threaded</vt:lpstr>
      <vt:lpstr>Test_WorkbooksObject</vt:lpstr>
      <vt:lpstr>'Test 1'!TestArea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2023-08-27T14:26:10Z</dcterms:modified>
</cp:coreProperties>
</file>