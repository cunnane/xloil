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_build\tests\AutoSheets\"/>
    </mc:Choice>
  </mc:AlternateContent>
  <xr:revisionPtr revIDLastSave="0" documentId="13_ncr:1_{E4C168FB-2A55-4B1B-BA3F-51DA5FDF710E}" xr6:coauthVersionLast="47" xr6:coauthVersionMax="47" xr10:uidLastSave="{00000000-0000-0000-0000-000000000000}"/>
  <bookViews>
    <workbookView xWindow="828" yWindow="-108" windowWidth="22320" windowHeight="13176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1'!$B$117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1'!$B$75</definedName>
    <definedName name="Test_Date">'Test 1'!$B$79</definedName>
    <definedName name="Test_DateConversion">'Test 1'!$B$95</definedName>
    <definedName name="Test_DynamicRegistration">'Test 1'!$B$101</definedName>
    <definedName name="Test_ExcelCall">'Test 1'!$B$106</definedName>
    <definedName name="Test_ExternalLoad">'Test 1'!$B$90</definedName>
    <definedName name="Test_GetFormula">'Test 1'!$B$112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1'!$B$81</definedName>
    <definedName name="Test_WorkbooksObject">'Test 1'!$B$104</definedName>
    <definedName name="TestArea" localSheetId="0">'Test 1'!$G$1:$J$3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9" i="1" l="1" a="1"/>
  <c r="B69" i="1" s="1"/>
  <c r="C36" i="1"/>
  <c r="C37" i="1"/>
  <c r="C116" i="1"/>
  <c r="C109" i="1"/>
  <c r="D59" i="1"/>
  <c r="D92" i="1" a="1"/>
  <c r="D91" i="1"/>
  <c r="D37" i="1" a="1"/>
  <c r="K59" i="1"/>
  <c r="D109" i="1"/>
  <c r="D111" i="1"/>
  <c r="D68" i="1" a="1"/>
  <c r="D114" i="1"/>
  <c r="D36" i="1" a="1"/>
  <c r="D32" i="1" a="1"/>
  <c r="D29" i="1"/>
  <c r="D90" i="1" a="1"/>
  <c r="D110" i="1"/>
  <c r="D68" i="1" l="1"/>
  <c r="D92" i="1"/>
  <c r="D90" i="1"/>
  <c r="D32" i="1"/>
  <c r="D33" i="1"/>
  <c r="E32" i="1"/>
  <c r="E33" i="1"/>
  <c r="D37" i="1"/>
  <c r="B37" i="1" s="1"/>
  <c r="D36" i="1"/>
  <c r="B36" i="1" s="1"/>
  <c r="B109" i="1"/>
  <c r="D93" i="1" a="1"/>
  <c r="D64" i="1" a="1"/>
  <c r="D64" i="1" l="1"/>
  <c r="D93" i="1"/>
  <c r="B91" i="1" s="1"/>
  <c r="B38" i="1"/>
  <c r="B4" i="1"/>
  <c r="D116" i="1"/>
  <c r="C110" i="1" l="1"/>
  <c r="C111" i="1" s="1"/>
  <c r="D115" i="1"/>
  <c r="D101" i="1"/>
  <c r="D14" i="1"/>
  <c r="C104" i="1"/>
  <c r="D102" i="1"/>
  <c r="D104" i="1"/>
  <c r="D106" i="1"/>
  <c r="B116" i="1" l="1"/>
  <c r="C114" i="1"/>
  <c r="B114" i="1" s="1"/>
  <c r="B115" i="1"/>
  <c r="B111" i="1"/>
  <c r="B110" i="1"/>
  <c r="B106" i="1"/>
  <c r="B104" i="1"/>
  <c r="B101" i="1"/>
  <c r="C41" i="1"/>
  <c r="C49" i="1"/>
  <c r="D41" i="1"/>
  <c r="B117" i="1" l="1"/>
  <c r="B112" i="1"/>
  <c r="B41" i="1"/>
  <c r="H96" i="1"/>
  <c r="F96" i="1"/>
  <c r="D95" i="1" a="1"/>
  <c r="D97" i="1" l="1"/>
  <c r="D98" i="1"/>
  <c r="D99" i="1"/>
  <c r="D95" i="1"/>
  <c r="D96" i="1"/>
  <c r="B95" i="1" l="1"/>
  <c r="B33" i="1"/>
  <c r="B32" i="1"/>
  <c r="E84" i="1"/>
  <c r="F84" i="1" s="1"/>
  <c r="G83" i="1"/>
  <c r="F83" i="1"/>
  <c r="B34" i="1" l="1"/>
  <c r="E85" i="1"/>
  <c r="F85" i="1" s="1"/>
  <c r="G84" i="1"/>
  <c r="G85" i="1" l="1"/>
  <c r="E86" i="1"/>
  <c r="D49" i="1"/>
  <c r="B49" i="1" l="1"/>
  <c r="F86" i="1"/>
  <c r="F87" i="1" s="1"/>
  <c r="G86" i="1"/>
  <c r="G87" i="1" s="1"/>
  <c r="C77" i="1"/>
  <c r="E87" i="1"/>
  <c r="D11" i="1"/>
  <c r="D78" i="1"/>
  <c r="B81" i="1" l="1"/>
  <c r="B78" i="1"/>
  <c r="D77" i="1"/>
  <c r="D8" i="1"/>
  <c r="B77" i="1" l="1"/>
  <c r="B79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10" i="1"/>
  <c r="D23" i="1"/>
  <c r="D47" i="1"/>
  <c r="D28" i="1"/>
  <c r="D27" i="1"/>
  <c r="D45" i="1"/>
  <c r="J56" i="1"/>
  <c r="D53" i="1"/>
  <c r="C11" i="1"/>
  <c r="D18" i="1"/>
  <c r="D17" i="1"/>
  <c r="G40" i="1"/>
  <c r="D52" i="1"/>
  <c r="D16" i="1"/>
  <c r="D9" i="1"/>
  <c r="D22" i="1"/>
  <c r="D15" i="1"/>
  <c r="D19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40" i="1"/>
  <c r="D56" i="1"/>
  <c r="D73" i="1" a="1"/>
  <c r="D60" i="1" a="1"/>
  <c r="B54" i="1" l="1"/>
  <c r="B30" i="1"/>
  <c r="B24" i="1"/>
  <c r="B20" i="1"/>
  <c r="B12" i="1"/>
  <c r="F73" i="1"/>
  <c r="E74" i="1"/>
  <c r="F74" i="1"/>
  <c r="E73" i="1"/>
  <c r="D74" i="1"/>
  <c r="D73" i="1"/>
  <c r="B56" i="1"/>
  <c r="D60" i="1"/>
  <c r="B60" i="1" s="1"/>
  <c r="D61" i="1"/>
  <c r="B61" i="1" s="1"/>
  <c r="B59" i="1"/>
  <c r="B40" i="1"/>
  <c r="B42" i="1" s="1"/>
  <c r="B73" i="1" l="1" a="1"/>
  <c r="B73" i="1" s="1"/>
  <c r="B64" i="1" a="1"/>
  <c r="B64" i="1" s="1"/>
  <c r="B75" i="1" l="1"/>
  <c r="B90" i="1" l="1"/>
  <c r="B3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<sst xmlns="http://schemas.openxmlformats.org/spreadsheetml/2006/main" count="82" uniqueCount="71">
  <si>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</si>
  <si>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</si>
  <si>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</si>
  <si>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</si>
  <si>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</si>
  <si>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</si>
  <si>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</si>
  <si>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</si>
  <si>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</si>
  <si>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</si>
  <si>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</si>
  <si>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</si>
  <si>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</si>
  <si>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</si>
  <si>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</si>
  <si>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</si>
  <si>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</si>
  <si>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</si>
  <si>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</si>
  <si>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</si>
  <si>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</si>
  <si>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</si>
  <si>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</si>
  <si>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</si>
  <si>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</si>
  <si>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</si>
  <si>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</si>
  <si>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</si>
  <si>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</si>
  <si>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</si>
  <si>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</si>
  <si>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</si>
  <si>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</si>
  <si>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</si>
  <si>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</si>
  <si>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</si>
  <si>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</si>
  <si>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</si>
  <si>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</si>
  <si>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</si>
  <si>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</si>
  <si>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</si>
  <si>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</si>
  <si>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</si>
  <si>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</si>
  <si>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</si>
  <si>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</si>
  <si>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</si>
  <si>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</si>
  <si>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</si>
  <si>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</si>
  <si>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</si>
  <si>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</si>
  <si>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</si>
  <si>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</si>
  <si>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</si>
  <si>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</si>
  <si>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</si>
  <si>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</si>
  <si>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</si>
  <si>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</si>
  <si>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</si>
  <si>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</si>
  <si>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Wait</t>
  </si>
  <si>
    <t>pyTestFastArray</t>
  </si>
  <si>
    <t>pyTestVargs</t>
  </si>
  <si>
    <t>xloImport</t>
  </si>
  <si>
    <t>Date</t>
  </si>
  <si>
    <t>Food</t>
  </si>
  <si>
    <t>pyTestDFrameMultIndex</t>
  </si>
  <si>
    <t>Calc finished at: 2023-08-11 02:52:36.146533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</si>
</sst>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7"/>
  <sheetViews>
    <sheetView showGridLines="0" tabSelected="1" topLeftCell="A42" workbookViewId="0">
      <selection activeCell="F48" sqref="F48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  <col min="10" max="10" width="10.5546875" bestFit="1" customWidth="1"/>
  </cols>
  <sheetData>
    <row r="1" spans="1:11" x14ac:dyDescent="0.3">
      <c r="A1" s="5" t="s">
        <v>70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b">
        <f ca="1">AND(B8:B209)</f>
        <v>1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64</v>
      </c>
      <c r="B29" t="b">
        <f>C29=D29</f>
        <v>1</v>
      </c>
      <c r="C29">
        <f>C28</f>
        <v>10</v>
      </c>
      <c r="D29" s="6">
        <f>SUM(_xll.pyTestFastArr(G27:H28))</f>
        <v>10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1</v>
      </c>
    </row>
    <row r="35" spans="1:9" x14ac:dyDescent="0.3">
      <c r="A35" s="2"/>
    </row>
    <row r="36" spans="1:9" x14ac:dyDescent="0.3">
      <c r="A36" s="2" t="s">
        <v>65</v>
      </c>
      <c r="B36" t="b">
        <f>D36=C36</f>
        <v>1</v>
      </c>
      <c r="C36">
        <f>3*SUM(G37:I37)</f>
        <v>18</v>
      </c>
      <c r="D36" s="6" cm="1">
        <f t="array" ref="D36">pyTestVargs(G37,H37,I37)</f>
        <v>18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1!R40C7CustomObj,A</v>
      </c>
    </row>
    <row r="41" spans="1:9" x14ac:dyDescent="0.3">
      <c r="A41" s="2" t="s">
        <v>51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1!R41C4,A</v>
      </c>
    </row>
    <row r="42" spans="1:9" x14ac:dyDescent="0.3">
      <c r="B42" s="19" t="b">
        <f>AND(B40:B41)</f>
        <v>1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1" x14ac:dyDescent="0.3">
      <c r="A49" s="2" t="s">
        <v>38</v>
      </c>
      <c r="B49" s="19" t="b">
        <f ca="1">C49=SUBSTITUTE(D49, "'","")</f>
        <v>1</v>
      </c>
      <c r="C49" s="4" t="str">
        <f ca="1">MID(CELL("filename"),FIND("[",CELL("filename")),100)&amp;"!"&amp;ADDRESS(ROW(H50),COLUMN(H50),4)</f>
        <v>[PythonTest.xlsm]Test 1!H50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1" x14ac:dyDescent="0.3">
      <c r="A50" s="2"/>
      <c r="G50" s="10">
        <v>3</v>
      </c>
      <c r="H50" s="10">
        <v>4</v>
      </c>
    </row>
    <row r="51" spans="1:11" x14ac:dyDescent="0.3">
      <c r="A51" s="2"/>
    </row>
    <row r="52" spans="1:11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1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1" x14ac:dyDescent="0.3">
      <c r="B54" s="19" t="b">
        <f>AND(B52:B53)</f>
        <v>1</v>
      </c>
    </row>
    <row r="55" spans="1:11" x14ac:dyDescent="0.3">
      <c r="A55" s="2"/>
    </row>
    <row r="56" spans="1:11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1!R56C10DataFrame,A</v>
      </c>
    </row>
    <row r="57" spans="1:11" x14ac:dyDescent="0.3">
      <c r="A57" s="2"/>
      <c r="G57" s="11">
        <v>1</v>
      </c>
      <c r="H57" s="11">
        <v>2</v>
      </c>
      <c r="I57" s="11">
        <v>3</v>
      </c>
    </row>
    <row r="58" spans="1:11" x14ac:dyDescent="0.3">
      <c r="A58" s="2"/>
    </row>
    <row r="59" spans="1:11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pyTestFrameFetch(K59,0,I59)</f>
        <v>Foo</v>
      </c>
      <c r="G59" s="10" t="s">
        <v>33</v>
      </c>
      <c r="H59" s="10" t="s">
        <v>30</v>
      </c>
      <c r="I59" s="10" t="s">
        <v>68</v>
      </c>
      <c r="J59" s="10" t="s">
        <v>67</v>
      </c>
      <c r="K59" s="12" t="str">
        <f>pyTestDFrameIndex(G59:J61)</f>
        <v>欣[PythonTest.xlsm]Test 1!R59C11,A</v>
      </c>
    </row>
    <row r="60" spans="1:11" x14ac:dyDescent="0.3">
      <c r="A60" s="2"/>
      <c r="B60" t="b">
        <f>C60=D60</f>
        <v>1</v>
      </c>
      <c r="C60">
        <f>H61</f>
        <v>2.1</v>
      </c>
      <c r="D60" s="6">
        <f t="array" ref="D60:D61">pyTestFrameFetch(K59,1)</f>
        <v>2.1</v>
      </c>
      <c r="G60" s="10">
        <v>0</v>
      </c>
      <c r="H60" s="10">
        <v>5.3</v>
      </c>
      <c r="I60" s="10" t="s">
        <v>17</v>
      </c>
      <c r="J60" s="13">
        <v>45026</v>
      </c>
    </row>
    <row r="61" spans="1:11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10">
        <v>1</v>
      </c>
      <c r="H61" s="10">
        <v>2.1</v>
      </c>
      <c r="I61" s="10" t="s">
        <v>18</v>
      </c>
      <c r="J61" s="13">
        <v>45027</v>
      </c>
    </row>
    <row r="62" spans="1:11" x14ac:dyDescent="0.3">
      <c r="A62" s="2"/>
      <c r="D62" s="6"/>
      <c r="G62" s="10">
        <v>2</v>
      </c>
      <c r="H62" s="10">
        <v>4.0999999999999996</v>
      </c>
      <c r="I62" s="10" t="s">
        <v>17</v>
      </c>
      <c r="J62" s="13">
        <v>45027</v>
      </c>
    </row>
    <row r="63" spans="1:11" x14ac:dyDescent="0.3">
      <c r="A63" s="2"/>
    </row>
    <row r="64" spans="1:11" x14ac:dyDescent="0.3">
      <c r="A64" s="2" t="s">
        <v>47</v>
      </c>
      <c r="B64" t="b">
        <f t="array" ref="B64">SUM((D64:F66=G59:I61)+0)=9</f>
        <v>1</v>
      </c>
      <c r="D64" s="6" t="str" cm="1">
        <f t="array" ref="D64:G66">pyTestFrameFetch(K59)</f>
        <v>Time</v>
      </c>
      <c r="E64" s="6" t="str">
        <v>A</v>
      </c>
      <c r="F64" s="6" t="str">
        <v>Food</v>
      </c>
      <c r="G64" s="6" t="str">
        <v>Date</v>
      </c>
    </row>
    <row r="65" spans="1:7" x14ac:dyDescent="0.3">
      <c r="D65" s="6">
        <v>0</v>
      </c>
      <c r="E65" s="6">
        <v>5.3</v>
      </c>
      <c r="F65" s="6" t="str">
        <v>Foo</v>
      </c>
      <c r="G65" s="6">
        <v>45026</v>
      </c>
    </row>
    <row r="66" spans="1:7" ht="15" customHeight="1" x14ac:dyDescent="0.3">
      <c r="D66" s="6">
        <v>1</v>
      </c>
      <c r="E66" s="6">
        <v>2.1</v>
      </c>
      <c r="F66" s="6" t="str">
        <v>Bar</v>
      </c>
      <c r="G66" s="6">
        <v>45027</v>
      </c>
    </row>
    <row r="67" spans="1:7" ht="15" customHeight="1" x14ac:dyDescent="0.3"/>
    <row r="68" spans="1:7" ht="15" customHeight="1" x14ac:dyDescent="0.3">
      <c r="D68" s="6" t="str" cm="1">
        <f t="array" ref="D68:G71">pyTestDFrameMultiIndex(G59:J62)</f>
        <v>Date</v>
      </c>
      <c r="E68" s="6" t="str">
        <v>Food</v>
      </c>
      <c r="F68" s="6" t="str">
        <v>Time</v>
      </c>
      <c r="G68" s="6" t="str">
        <v>A</v>
      </c>
    </row>
    <row r="69" spans="1:7" ht="15" customHeight="1" x14ac:dyDescent="0.3">
      <c r="A69" t="s">
        <v>69</v>
      </c>
      <c r="B69" t="b" cm="1">
        <f t="array" ref="B69">SUM((D68:D71=J59:J62)+0)=4</f>
        <v>1</v>
      </c>
      <c r="D69" s="6">
        <v>45026</v>
      </c>
      <c r="E69" s="6" t="str">
        <v>Foo</v>
      </c>
      <c r="F69" s="6">
        <v>0</v>
      </c>
      <c r="G69" s="6">
        <v>5.3</v>
      </c>
    </row>
    <row r="70" spans="1:7" ht="15" customHeight="1" x14ac:dyDescent="0.3">
      <c r="D70" s="6">
        <v>45027</v>
      </c>
      <c r="E70" s="6" t="str">
        <v>Bar</v>
      </c>
      <c r="F70" s="6">
        <v>1</v>
      </c>
      <c r="G70" s="6">
        <v>2.1</v>
      </c>
    </row>
    <row r="71" spans="1:7" x14ac:dyDescent="0.3">
      <c r="D71" s="6">
        <v>45027</v>
      </c>
      <c r="E71" s="6" t="str">
        <v>Foo</v>
      </c>
      <c r="F71" s="6">
        <v>2</v>
      </c>
      <c r="G71" s="6">
        <v>4.0999999999999996</v>
      </c>
    </row>
    <row r="73" spans="1:7" x14ac:dyDescent="0.3">
      <c r="B73" t="b">
        <f t="array" ref="B73">SUM((D73:F74=G59:I60)+0)=6</f>
        <v>1</v>
      </c>
      <c r="D73" s="6" t="str">
        <f t="array" ref="D73:F74">pyTestFrameWrite(K59)</f>
        <v>Time</v>
      </c>
      <c r="E73" s="6" t="str">
        <v>A</v>
      </c>
      <c r="F73" s="6" t="str">
        <v>Food</v>
      </c>
    </row>
    <row r="74" spans="1:7" x14ac:dyDescent="0.3">
      <c r="D74" s="6">
        <v>0</v>
      </c>
      <c r="E74" s="6">
        <v>5.3</v>
      </c>
      <c r="F74" s="6" t="str">
        <v>Foo</v>
      </c>
    </row>
    <row r="75" spans="1:7" x14ac:dyDescent="0.3">
      <c r="B75" s="19" t="b">
        <f>AND(B56:B74)</f>
        <v>1</v>
      </c>
    </row>
    <row r="77" spans="1:7" x14ac:dyDescent="0.3">
      <c r="A77" s="2" t="s">
        <v>34</v>
      </c>
      <c r="B77" t="b">
        <f>C77=D77</f>
        <v>1</v>
      </c>
      <c r="C77" s="3">
        <f>G77+1</f>
        <v>42737</v>
      </c>
      <c r="D77" s="7">
        <f>pyTestDate(G77)</f>
        <v>42737</v>
      </c>
      <c r="E77" s="3"/>
      <c r="G77" s="13">
        <v>42736</v>
      </c>
    </row>
    <row r="78" spans="1:7" x14ac:dyDescent="0.3">
      <c r="B78" t="b">
        <f>D78=C78</f>
        <v>1</v>
      </c>
      <c r="C78" s="3">
        <v>42768</v>
      </c>
      <c r="D78" s="7">
        <f>pyTestDate(G78)</f>
        <v>42768</v>
      </c>
      <c r="E78" s="3"/>
      <c r="G78" s="14" t="s">
        <v>35</v>
      </c>
    </row>
    <row r="79" spans="1:7" x14ac:dyDescent="0.3">
      <c r="B79" s="19" t="b">
        <f>AND(B77:B78)</f>
        <v>1</v>
      </c>
    </row>
    <row r="81" spans="1:8" x14ac:dyDescent="0.3">
      <c r="A81" s="2" t="s">
        <v>39</v>
      </c>
      <c r="B81" s="19" t="b">
        <f>E87&lt;&gt;F87</f>
        <v>1</v>
      </c>
      <c r="D81" t="s">
        <v>40</v>
      </c>
      <c r="E81">
        <v>3</v>
      </c>
      <c r="F81">
        <v>1</v>
      </c>
      <c r="G81">
        <v>4</v>
      </c>
    </row>
    <row r="82" spans="1:8" x14ac:dyDescent="0.3">
      <c r="A82" t="s">
        <v>46</v>
      </c>
      <c r="D82" t="s">
        <v>41</v>
      </c>
      <c r="E82">
        <v>3</v>
      </c>
      <c r="F82">
        <v>2</v>
      </c>
      <c r="G82">
        <v>7</v>
      </c>
    </row>
    <row r="83" spans="1:8" x14ac:dyDescent="0.3">
      <c r="D83" t="s">
        <v>42</v>
      </c>
      <c r="E83">
        <v>500</v>
      </c>
      <c r="F83">
        <f>E83</f>
        <v>500</v>
      </c>
      <c r="G83">
        <f>E83</f>
        <v>500</v>
      </c>
    </row>
    <row r="84" spans="1:8" x14ac:dyDescent="0.3">
      <c r="D84" t="s">
        <v>43</v>
      </c>
      <c r="E84">
        <f>E83</f>
        <v>500</v>
      </c>
      <c r="F84">
        <f>E84</f>
        <v>500</v>
      </c>
      <c r="G84">
        <f>E84</f>
        <v>500</v>
      </c>
    </row>
    <row r="85" spans="1:8" x14ac:dyDescent="0.3">
      <c r="D85" t="s">
        <v>44</v>
      </c>
      <c r="E85">
        <f>E84</f>
        <v>500</v>
      </c>
      <c r="F85">
        <f>E85</f>
        <v>500</v>
      </c>
      <c r="G85">
        <f>E85</f>
        <v>500</v>
      </c>
    </row>
    <row r="86" spans="1:8" x14ac:dyDescent="0.3">
      <c r="D86" t="s">
        <v>45</v>
      </c>
      <c r="E86">
        <f>E85</f>
        <v>500</v>
      </c>
      <c r="F86">
        <f>E86</f>
        <v>500</v>
      </c>
      <c r="G86">
        <f>E86</f>
        <v>500</v>
      </c>
    </row>
    <row r="87" spans="1:8" x14ac:dyDescent="0.3">
      <c r="E87" s="6">
        <f>_xll.pyThreadTest(E81,E82,E83,E84,E85,E86)</f>
        <v>268</v>
      </c>
      <c r="F87" s="6">
        <f>_xll.pyThreadTest(F81,F82,F83,F84,F85,F86)</f>
        <v>20568</v>
      </c>
      <c r="G87" s="6">
        <f>_xll.pyThreadTest(G81,G82,G83,G84,G85,G86)</f>
        <v>17300</v>
      </c>
    </row>
    <row r="90" spans="1:8" x14ac:dyDescent="0.3">
      <c r="A90" s="2" t="s">
        <v>66</v>
      </c>
      <c r="B90" s="19" t="b">
        <f>C90=D91</f>
        <v>1</v>
      </c>
      <c r="C90" t="s">
        <v>48</v>
      </c>
      <c r="D90" t="str" cm="1">
        <f t="array" ref="D90">_xll.xloImport(pyWbPath()&amp;"\TestModule.py", "*")</f>
        <v>Loaded C:\Users\Steven\dev\xloil_build\tests\AutoSheets\TestModule.py</v>
      </c>
    </row>
    <row r="91" spans="1:8" x14ac:dyDescent="0.3">
      <c r="A91" t="s">
        <v>49</v>
      </c>
      <c r="B91" s="19" t="b">
        <f>C93=D93</f>
        <v>1</v>
      </c>
      <c r="D91" s="6" t="str">
        <f>_xll.pyTestLoadMod()</f>
        <v>Great Success!</v>
      </c>
    </row>
    <row r="92" spans="1:8" x14ac:dyDescent="0.3">
      <c r="D92" t="str" cm="1">
        <f t="array" ref="D92">_xll.pyFooBar(1)</f>
        <v>欣[PythonTest.xlsm]Test 1!R92C4pyFooBar,A</v>
      </c>
    </row>
    <row r="93" spans="1:8" x14ac:dyDescent="0.3">
      <c r="C93">
        <v>16</v>
      </c>
      <c r="D93" cm="1">
        <f t="array" ref="D93">_xll.xloAttr(D92,"xplus",,3,4)</f>
        <v>16</v>
      </c>
    </row>
    <row r="95" spans="1:8" x14ac:dyDescent="0.3">
      <c r="A95" s="2" t="s">
        <v>50</v>
      </c>
      <c r="B95" s="19" t="b">
        <f>AND(D95=F95+1, D96=G95+1, D97=H95+1,D98=F96+1,D99=G96+1)</f>
        <v>1</v>
      </c>
      <c r="D95" s="6">
        <f t="array" ref="D95:D99">pyTestDateConv(F95:H96)</f>
        <v>43001</v>
      </c>
      <c r="F95" s="10">
        <v>43000</v>
      </c>
      <c r="G95" s="10">
        <v>44000</v>
      </c>
      <c r="H95" s="10">
        <v>45000.66</v>
      </c>
    </row>
    <row r="96" spans="1:8" x14ac:dyDescent="0.3">
      <c r="D96" s="6">
        <v>44001</v>
      </c>
      <c r="F96" s="10">
        <f>G95</f>
        <v>44000</v>
      </c>
      <c r="G96" s="10">
        <v>37000</v>
      </c>
      <c r="H96" s="10">
        <f>H95</f>
        <v>45000.66</v>
      </c>
    </row>
    <row r="97" spans="1:4" x14ac:dyDescent="0.3">
      <c r="D97" s="6">
        <v>45001.66</v>
      </c>
    </row>
    <row r="98" spans="1:4" x14ac:dyDescent="0.3">
      <c r="D98" s="6">
        <v>44001</v>
      </c>
    </row>
    <row r="99" spans="1:4" x14ac:dyDescent="0.3">
      <c r="D99" s="6">
        <v>37001</v>
      </c>
    </row>
    <row r="101" spans="1:4" x14ac:dyDescent="0.3">
      <c r="A101" s="2" t="s">
        <v>52</v>
      </c>
      <c r="B101" s="19" t="b">
        <f>C101:C102=D101:D102</f>
        <v>1</v>
      </c>
      <c r="C101">
        <v>0</v>
      </c>
      <c r="D101" s="6">
        <f>pyTestDynamic0()</f>
        <v>0</v>
      </c>
    </row>
    <row r="102" spans="1:4" x14ac:dyDescent="0.3">
      <c r="C102">
        <v>2</v>
      </c>
      <c r="D102" s="6">
        <f>pyTestDynamic2()</f>
        <v>2</v>
      </c>
    </row>
    <row r="104" spans="1:4" x14ac:dyDescent="0.3">
      <c r="A104" s="2" t="s">
        <v>53</v>
      </c>
      <c r="B104" s="19" t="b">
        <f>C104=D104</f>
        <v>1</v>
      </c>
      <c r="C104" t="str">
        <f>pyTestWorkbooks()</f>
        <v>PythonTest.xlsm</v>
      </c>
      <c r="D104" s="6" t="str">
        <f>pyTestWorkbooks()</f>
        <v>PythonTest.xlsm</v>
      </c>
    </row>
    <row r="106" spans="1:4" x14ac:dyDescent="0.3">
      <c r="A106" s="2" t="s">
        <v>56</v>
      </c>
      <c r="B106" s="19" t="b">
        <f>C106=D106</f>
        <v>1</v>
      </c>
      <c r="C106">
        <v>6</v>
      </c>
      <c r="D106" s="6">
        <f>pyTestExcelCall("sum",1,2,3)</f>
        <v>6</v>
      </c>
    </row>
    <row r="109" spans="1:4" x14ac:dyDescent="0.3">
      <c r="A109" s="2" t="s">
        <v>57</v>
      </c>
      <c r="B109" t="b">
        <f ca="1">C109=D109</f>
        <v>1</v>
      </c>
      <c r="C109" t="str">
        <f ca="1">"="&amp;SUBSTITUTE(CELL("address",C106)&amp;"="&amp;CELL("address",D106),"$","")</f>
        <v>=C106=D106</v>
      </c>
      <c r="D109" s="6" t="str">
        <f>pyTestExcelCall("getcell",6,Test_ExcelCall)</f>
        <v>=C106=D106</v>
      </c>
    </row>
    <row r="110" spans="1:4" x14ac:dyDescent="0.3">
      <c r="B110" t="b">
        <f ca="1">C110=D110</f>
        <v>1</v>
      </c>
      <c r="C110" t="str">
        <f ca="1">C109</f>
        <v>=C106=D106</v>
      </c>
      <c r="D110" s="6" t="str">
        <f ca="1">_xll.pyTestRangeFormula2(Test_ExcelCall)</f>
        <v>=C106=D106</v>
      </c>
    </row>
    <row r="111" spans="1:4" x14ac:dyDescent="0.3">
      <c r="B111" t="b">
        <f ca="1">C111=D111</f>
        <v>1</v>
      </c>
      <c r="C111" t="str">
        <f ca="1">C110</f>
        <v>=C106=D106</v>
      </c>
      <c r="D111" s="6" t="str">
        <f>pyTestRangeFormula(Test_ExcelCall)</f>
        <v>=C106=D106</v>
      </c>
    </row>
    <row r="112" spans="1:4" x14ac:dyDescent="0.3">
      <c r="B112" s="19" t="b">
        <f ca="1">AND(B109:B111)</f>
        <v>1</v>
      </c>
    </row>
    <row r="114" spans="1:4" x14ac:dyDescent="0.3">
      <c r="A114" s="2" t="s">
        <v>58</v>
      </c>
      <c r="B114" t="b">
        <f>C114=D114</f>
        <v>1</v>
      </c>
      <c r="C114" t="str">
        <f>C104</f>
        <v>PythonTest.xlsm</v>
      </c>
      <c r="D114" s="6" t="str">
        <f>pyTestAppRun("pyTestWorkbooks")</f>
        <v>PythonTest.xlsm</v>
      </c>
    </row>
    <row r="115" spans="1:4" x14ac:dyDescent="0.3">
      <c r="B115" t="b">
        <f>C115=D115</f>
        <v>1</v>
      </c>
      <c r="C115">
        <v>6</v>
      </c>
      <c r="D115" s="6">
        <f>pyTestAppRun("pySum",1,2,3)</f>
        <v>6</v>
      </c>
    </row>
    <row r="116" spans="1:4" x14ac:dyDescent="0.3">
      <c r="B116" t="b">
        <f ca="1">C116=SUBSTITUTE(D116, "'","")</f>
        <v>1</v>
      </c>
      <c r="C116" t="str">
        <f ca="1">MID(CELL("filename"),FIND("[",CELL("filename")),100)&amp;"!"&amp;ADDRESS(ROW(E115),COLUMN(E115),4)</f>
        <v>[PythonTest.xlsm]Test 1!E115</v>
      </c>
      <c r="D116" s="6" t="str">
        <f>pyTestAppRun("pyTestRange", D114)</f>
        <v>'[PythonTest.xlsm]Test 1'!E115</v>
      </c>
    </row>
    <row r="117" spans="1:4" x14ac:dyDescent="0.3">
      <c r="B117" s="19" t="b">
        <f ca="1">AND(B114:B116)</f>
        <v>1</v>
      </c>
    </row>
  </sheetData>
  <conditionalFormatting sqref="B8:B11 B14:B19 B21:B23 B25 B31:B33 B55:B60 B44:B53 B89 B80 B82:B87 B96:B100 B102:B103 B105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74 B76:B78">
    <cfRule type="expression" dxfId="14" priority="18">
      <formula>IFERROR(NOT(OR(ISBLANK(B61),B61)),TRUE)</formula>
    </cfRule>
  </conditionalFormatting>
  <conditionalFormatting sqref="B109:B111">
    <cfRule type="expression" dxfId="13" priority="17">
      <formula>IFERROR(NOT(OR(ISBLANK(B109),B109)),TRUE)</formula>
    </cfRule>
  </conditionalFormatting>
  <conditionalFormatting sqref="B114:B115">
    <cfRule type="expression" dxfId="12" priority="16">
      <formula>IFERROR(NOT(OR(ISBLANK(B114),B114)),TRUE)</formula>
    </cfRule>
  </conditionalFormatting>
  <conditionalFormatting sqref="B116">
    <cfRule type="expression" dxfId="11" priority="13">
      <formula>IFERROR(NOT(OR(ISBLANK(B116),B116)),TRUE)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75">
    <cfRule type="expression" dxfId="9" priority="11">
      <formula>IFERROR(NOT(OR(ISBLANK(B75),B75)),TRUE)</formula>
    </cfRule>
  </conditionalFormatting>
  <conditionalFormatting sqref="B79">
    <cfRule type="expression" dxfId="8" priority="10">
      <formula>IFERROR(NOT(OR(ISBLANK(B79),B79)),TRUE)</formula>
    </cfRule>
  </conditionalFormatting>
  <conditionalFormatting sqref="B81">
    <cfRule type="expression" dxfId="7" priority="9">
      <formula>IFERROR(NOT(OR(ISBLANK(B81),B81)),TRUE)</formula>
    </cfRule>
  </conditionalFormatting>
  <conditionalFormatting sqref="B90:B91">
    <cfRule type="expression" dxfId="6" priority="8">
      <formula>IFERROR(NOT(OR(ISBLANK(B90),B90)),TRUE)</formula>
    </cfRule>
  </conditionalFormatting>
  <conditionalFormatting sqref="B95">
    <cfRule type="expression" dxfId="5" priority="7">
      <formula>IFERROR(NOT(OR(ISBLANK(B95),B95)),TRUE)</formula>
    </cfRule>
  </conditionalFormatting>
  <conditionalFormatting sqref="B101">
    <cfRule type="expression" dxfId="4" priority="6">
      <formula>IFERROR(NOT(OR(ISBLANK(B101),B101)),TRUE)</formula>
    </cfRule>
  </conditionalFormatting>
  <conditionalFormatting sqref="B104">
    <cfRule type="expression" dxfId="3" priority="5">
      <formula>IFERROR(NOT(OR(ISBLANK(B104),B104)),TRUE)</formula>
    </cfRule>
  </conditionalFormatting>
  <conditionalFormatting sqref="B106">
    <cfRule type="expression" dxfId="2" priority="4">
      <formula>IFERROR(NOT(OR(ISBLANK(B106),B106)),TRUE)</formula>
    </cfRule>
  </conditionalFormatting>
  <conditionalFormatting sqref="B112">
    <cfRule type="expression" dxfId="1" priority="3">
      <formula>IFERROR(NOT(OR(ISBLANK(B112),B112)),TRUE)</formula>
    </cfRule>
  </conditionalFormatting>
  <conditionalFormatting sqref="B117">
    <cfRule type="expression" dxfId="0" priority="1">
      <formula>IFERROR(NOT(OR(ISBLANK(B117),B117)),TRUE)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workbookViewId="0">
      <selection activeCell="D4" sqref="D4"/>
    </sheetView>
  </sheetViews>
  <sheetFormatPr defaultRowHeight="14.4" x14ac:dyDescent="0.3"/>
  <sheetData>
    <row r="1" spans="1:2" x14ac:dyDescent="0.3">
      <c r="A1" t="s">
        <v>63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2023-08-11T00:57:37Z</dcterms:modified>
</cp:coreProperties>
</file>