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AutoSheets\"/>
    </mc:Choice>
  </mc:AlternateContent>
  <xr:revisionPtr revIDLastSave="0" documentId="13_ncr:1_{1C0F5D9A-74E5-4D55-99B1-01D4CFF88739}" xr6:coauthVersionLast="47" xr6:coauthVersionMax="47" xr10:uidLastSave="{00000000-0000-0000-0000-000000000000}"/>
  <bookViews>
    <workbookView xWindow="828" yWindow="-108" windowWidth="22320" windowHeight="13176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1'!$B$111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1'!$B$69</definedName>
    <definedName name="Test_Date">'Test 1'!$B$73</definedName>
    <definedName name="Test_DateConversion">'Test 1'!$B$89</definedName>
    <definedName name="Test_DynamicRegistration">'Test 1'!$B$95</definedName>
    <definedName name="Test_ExcelCall">'Test 1'!$B$100</definedName>
    <definedName name="Test_ExternalLoad">'Test 1'!$B$84</definedName>
    <definedName name="Test_GetFormula">'Test 1'!$B$106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1'!$B$75</definedName>
    <definedName name="Test_WorkbooksObject">'Test 1'!$B$98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6" i="1" l="1" a="1"/>
  <c r="D86" i="1" s="1"/>
  <c r="D85" i="1"/>
  <c r="C37" i="1"/>
  <c r="C36" i="1"/>
  <c r="C110" i="1"/>
  <c r="C103" i="1"/>
  <c r="D84" i="1" a="1"/>
  <c r="D108" i="1"/>
  <c r="D105" i="1"/>
  <c r="D36" i="1" a="1"/>
  <c r="D104" i="1"/>
  <c r="D37" i="1" a="1"/>
  <c r="D103" i="1"/>
  <c r="D32" i="1" a="1"/>
  <c r="D29" i="1"/>
  <c r="D84" i="1" l="1"/>
  <c r="D32" i="1"/>
  <c r="D33" i="1"/>
  <c r="E32" i="1"/>
  <c r="E33" i="1"/>
  <c r="D37" i="1"/>
  <c r="B37" i="1" s="1"/>
  <c r="D36" i="1"/>
  <c r="B36" i="1" s="1"/>
  <c r="B103" i="1"/>
  <c r="D87" i="1" a="1"/>
  <c r="D87" i="1" l="1"/>
  <c r="B85" i="1" s="1"/>
  <c r="B38" i="1"/>
  <c r="B4" i="1"/>
  <c r="D110" i="1"/>
  <c r="C104" i="1" l="1"/>
  <c r="C105" i="1" s="1"/>
  <c r="D14" i="1"/>
  <c r="D100" i="1"/>
  <c r="D95" i="1"/>
  <c r="D96" i="1"/>
  <c r="D109" i="1"/>
  <c r="C98" i="1"/>
  <c r="D98" i="1"/>
  <c r="B110" i="1" l="1"/>
  <c r="C108" i="1"/>
  <c r="B108" i="1" s="1"/>
  <c r="B109" i="1"/>
  <c r="B105" i="1"/>
  <c r="B104" i="1"/>
  <c r="B100" i="1"/>
  <c r="B98" i="1"/>
  <c r="B95" i="1"/>
  <c r="C41" i="1"/>
  <c r="C49" i="1"/>
  <c r="D41" i="1"/>
  <c r="B111" i="1" l="1"/>
  <c r="B106" i="1"/>
  <c r="B41" i="1"/>
  <c r="H90" i="1"/>
  <c r="F90" i="1"/>
  <c r="D89" i="1" a="1"/>
  <c r="D91" i="1" l="1"/>
  <c r="D92" i="1"/>
  <c r="D93" i="1"/>
  <c r="D89" i="1"/>
  <c r="D90" i="1"/>
  <c r="B89" i="1" l="1"/>
  <c r="B33" i="1"/>
  <c r="B32" i="1"/>
  <c r="E78" i="1"/>
  <c r="F78" i="1" s="1"/>
  <c r="G77" i="1"/>
  <c r="F77" i="1"/>
  <c r="B34" i="1" l="1"/>
  <c r="E79" i="1"/>
  <c r="F79" i="1" s="1"/>
  <c r="G78" i="1"/>
  <c r="G79" i="1" l="1"/>
  <c r="E80" i="1"/>
  <c r="D49" i="1"/>
  <c r="B49" i="1" l="1"/>
  <c r="F80" i="1"/>
  <c r="F81" i="1" s="1"/>
  <c r="G80" i="1"/>
  <c r="G81" i="1" s="1"/>
  <c r="C71" i="1"/>
  <c r="E81" i="1"/>
  <c r="D11" i="1"/>
  <c r="D72" i="1"/>
  <c r="B75" i="1" l="1"/>
  <c r="B72" i="1"/>
  <c r="D8" i="1"/>
  <c r="D71" i="1"/>
  <c r="B71" i="1" l="1"/>
  <c r="B73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15" i="1"/>
  <c r="D53" i="1"/>
  <c r="D17" i="1"/>
  <c r="D45" i="1"/>
  <c r="D28" i="1"/>
  <c r="J56" i="1"/>
  <c r="J59" i="1"/>
  <c r="D52" i="1"/>
  <c r="G40" i="1"/>
  <c r="D23" i="1"/>
  <c r="D16" i="1"/>
  <c r="D22" i="1"/>
  <c r="D18" i="1"/>
  <c r="D27" i="1"/>
  <c r="D9" i="1"/>
  <c r="D47" i="1"/>
  <c r="D10" i="1"/>
  <c r="C11" i="1"/>
  <c r="D19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56" i="1"/>
  <c r="D63" i="1" a="1"/>
  <c r="D59" i="1"/>
  <c r="D60" i="1" a="1"/>
  <c r="D40" i="1"/>
  <c r="D67" i="1" a="1"/>
  <c r="B54" i="1" l="1"/>
  <c r="B30" i="1"/>
  <c r="B24" i="1"/>
  <c r="B20" i="1"/>
  <c r="B12" i="1"/>
  <c r="F67" i="1"/>
  <c r="E68" i="1"/>
  <c r="F68" i="1"/>
  <c r="E67" i="1"/>
  <c r="D68" i="1"/>
  <c r="D67" i="1"/>
  <c r="F64" i="1"/>
  <c r="D65" i="1"/>
  <c r="D64" i="1"/>
  <c r="D63" i="1"/>
  <c r="F63" i="1"/>
  <c r="E64" i="1"/>
  <c r="F65" i="1"/>
  <c r="E63" i="1"/>
  <c r="E65" i="1"/>
  <c r="B56" i="1"/>
  <c r="D60" i="1"/>
  <c r="B60" i="1" s="1"/>
  <c r="D61" i="1"/>
  <c r="B61" i="1" s="1"/>
  <c r="B59" i="1"/>
  <c r="B40" i="1"/>
  <c r="B42" i="1" s="1"/>
  <c r="B67" i="1" l="1" a="1"/>
  <c r="B67" i="1" s="1"/>
  <c r="B63" i="1" a="1"/>
  <c r="B63" i="1" s="1"/>
  <c r="B69" i="1" l="1"/>
  <c r="B84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<sst xmlns="http://schemas.openxmlformats.org/spreadsheetml/2006/main" count="79" uniqueCount="68">
  <si>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</si>
  <si>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</si>
  <si>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</si>
  <si>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</si>
  <si>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</si>
  <si>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</si>
  <si>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</si>
  <si>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</si>
  <si>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</si>
  <si>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</si>
  <si>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</si>
  <si>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</si>
  <si>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</si>
  <si>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</si>
  <si>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</si>
  <si>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</si>
  <si>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</si>
  <si>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</si>
  <si>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</si>
  <si>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</si>
  <si>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</si>
  <si>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</si>
  <si>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</si>
  <si>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</si>
  <si>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</si>
  <si>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</si>
  <si>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</si>
  <si>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</si>
  <si>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</si>
  <si>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</si>
  <si>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</si>
  <si>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</si>
  <si>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</si>
  <si>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</si>
  <si>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</si>
  <si>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</si>
  <si>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</si>
  <si>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</si>
  <si>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</si>
  <si>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</si>
  <si>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</si>
  <si>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</si>
  <si>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</si>
  <si>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</si>
  <si>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</si>
  <si>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</si>
  <si>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</si>
  <si>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</si>
  <si>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</si>
  <si>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</si>
  <si>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</si>
  <si>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</si>
  <si>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</si>
  <si>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</si>
  <si>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</si>
  <si>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</si>
  <si>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</si>
  <si>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</si>
  <si>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</si>
  <si>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</si>
  <si>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</si>
  <si>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</si>
  <si>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</si>
  <si>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Calc on Test 1 finished at: 2022-06-17 20:57:50.934535</t>
  </si>
  <si>
    <t>Wait</t>
  </si>
  <si>
    <t>pyTestFastArray</t>
  </si>
  <si>
    <t>pyTestVargs</t>
  </si>
  <si>
    <t>xloImport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</si>
</sst>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5xoekv7ru9zirx9j34vkpk">
      <tp>
        <v>0</v>
        <stp/>
        <stp>{9F19DCC2-9866-42E8-B0B1-D6AE619E9C2C}</stp>
        <tr r="D8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1"/>
  <sheetViews>
    <sheetView showGridLines="0" tabSelected="1" topLeftCell="A73" workbookViewId="0">
      <selection activeCell="C85" sqref="C85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63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e">
        <f ca="1">AND(B8:B203)</f>
        <v>#NAME?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0">
        <v>1</v>
      </c>
      <c r="H17" s="10">
        <v>2</v>
      </c>
      <c r="I17" s="10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24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19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0">
        <v>3.1</v>
      </c>
      <c r="H22" s="10">
        <v>1</v>
      </c>
      <c r="I22" s="10">
        <v>2</v>
      </c>
      <c r="J22" s="10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B24" s="19" t="b">
        <f>AND(B22:B23)</f>
        <v>1</v>
      </c>
      <c r="G24" s="10"/>
      <c r="H24" s="10">
        <v>4</v>
      </c>
      <c r="I24" s="10">
        <v>5</v>
      </c>
      <c r="J24" s="10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0">
        <v>1</v>
      </c>
      <c r="H27" s="10">
        <v>2</v>
      </c>
    </row>
    <row r="28" spans="1:10" x14ac:dyDescent="0.3">
      <c r="A28" s="2" t="s">
        <v>25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0">
        <v>3</v>
      </c>
      <c r="H28" s="10">
        <v>4</v>
      </c>
    </row>
    <row r="29" spans="1:10" x14ac:dyDescent="0.3">
      <c r="A29" s="2" t="s">
        <v>65</v>
      </c>
      <c r="B29" t="b">
        <f>C29=D29</f>
        <v>1</v>
      </c>
      <c r="C29">
        <f>C28</f>
        <v>10</v>
      </c>
      <c r="D29" s="6">
        <f>SUM(_xll.pyTestFastArr(G27:H28))</f>
        <v>10</v>
      </c>
      <c r="G29" s="10"/>
      <c r="H29" s="10"/>
    </row>
    <row r="30" spans="1:10" x14ac:dyDescent="0.3">
      <c r="A30" s="2"/>
      <c r="B30" s="19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pyTestKwargs(G32:H32,G33:H33)</f>
        <v>Foo</v>
      </c>
      <c r="E32" s="6" t="str">
        <v>dead</v>
      </c>
      <c r="G32" s="10" t="s">
        <v>17</v>
      </c>
      <c r="H32" s="10" t="s">
        <v>19</v>
      </c>
    </row>
    <row r="33" spans="1:9" x14ac:dyDescent="0.3">
      <c r="A33" s="2"/>
      <c r="B33" t="b">
        <f>E33=H33</f>
        <v>1</v>
      </c>
      <c r="D33" s="6" t="str">
        <v>Bar</v>
      </c>
      <c r="E33" s="6" t="str">
        <v>parrot</v>
      </c>
      <c r="G33" s="10" t="s">
        <v>18</v>
      </c>
      <c r="H33" s="10" t="s">
        <v>20</v>
      </c>
    </row>
    <row r="34" spans="1:9" x14ac:dyDescent="0.3">
      <c r="B34" s="19" t="b">
        <f>AND(B32:B33)</f>
        <v>1</v>
      </c>
    </row>
    <row r="35" spans="1:9" x14ac:dyDescent="0.3">
      <c r="A35" s="2"/>
    </row>
    <row r="36" spans="1:9" x14ac:dyDescent="0.3">
      <c r="A36" s="2" t="s">
        <v>66</v>
      </c>
      <c r="B36" t="b">
        <f>D36=C36</f>
        <v>1</v>
      </c>
      <c r="C36">
        <f>SUM(G37:I37)</f>
        <v>6</v>
      </c>
      <c r="D36" s="6" cm="1">
        <f t="array" ref="D36">pyTestVargs(G37,H37,I37)</f>
        <v>6</v>
      </c>
      <c r="G36" t="s">
        <v>30</v>
      </c>
      <c r="H36" t="s">
        <v>27</v>
      </c>
      <c r="I36" t="s">
        <v>28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0">
        <v>1</v>
      </c>
      <c r="H37" s="10">
        <v>2</v>
      </c>
      <c r="I37" s="10">
        <v>3</v>
      </c>
    </row>
    <row r="38" spans="1:9" x14ac:dyDescent="0.3">
      <c r="A38" s="2"/>
      <c r="B38" s="19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23</v>
      </c>
      <c r="B40" t="b">
        <f>C40=D40</f>
        <v>1</v>
      </c>
      <c r="C40" t="s">
        <v>22</v>
      </c>
      <c r="D40" s="6" t="str">
        <f>pyTestCache(G40)</f>
        <v>Hello world</v>
      </c>
      <c r="G40" t="str">
        <f>pyTestCache()</f>
        <v>欣[PythonTest.xlsm]Test 1!R40C7CustomObj,A</v>
      </c>
    </row>
    <row r="41" spans="1:9" x14ac:dyDescent="0.3">
      <c r="A41" s="2" t="s">
        <v>51</v>
      </c>
      <c r="B41" t="b">
        <f>INDEX(_xll.xloVal(D41),1,1)=C41</f>
        <v>1</v>
      </c>
      <c r="C41" t="str">
        <f>G32</f>
        <v>Foo</v>
      </c>
      <c r="D41" s="6" t="str">
        <f>pyTestToCache(G32:H33)</f>
        <v>永[PythonTest.xlsm]Test 1!R41C4,A</v>
      </c>
    </row>
    <row r="42" spans="1:9" x14ac:dyDescent="0.3">
      <c r="B42" s="19" t="b">
        <f>AND(B40:B41)</f>
        <v>1</v>
      </c>
    </row>
    <row r="44" spans="1:9" ht="13.8" customHeight="1" x14ac:dyDescent="0.3"/>
    <row r="45" spans="1:9" x14ac:dyDescent="0.3">
      <c r="A45" s="2" t="s">
        <v>26</v>
      </c>
      <c r="B45" s="19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37</v>
      </c>
      <c r="B47" s="19" t="b">
        <f>C47=D47</f>
        <v>1</v>
      </c>
      <c r="C47" t="s">
        <v>61</v>
      </c>
      <c r="D47" t="str">
        <f>pyTestCom()</f>
        <v>{90160000-000F-0000-1000-0000000FF1CE}</v>
      </c>
    </row>
    <row r="48" spans="1:9" x14ac:dyDescent="0.3">
      <c r="A48" s="2"/>
    </row>
    <row r="49" spans="1:10" x14ac:dyDescent="0.3">
      <c r="A49" s="2" t="s">
        <v>38</v>
      </c>
      <c r="B49" s="19" t="b">
        <f ca="1">C49=SUBSTITUTE(D49, "'","")</f>
        <v>0</v>
      </c>
      <c r="C49" s="4" t="str">
        <f ca="1">MID(CELL("filename"),FIND("[",CELL("filename")),100)&amp;"!"&amp;ADDRESS(ROW(H50),COLUMN(H50),4)</f>
        <v>[Test.xlsx]Sheet1!H50</v>
      </c>
      <c r="D49" s="8" t="str">
        <f>pyTestRange(G49:H50)</f>
        <v>'[PythonTest.xlsm]Test 1'!H50</v>
      </c>
      <c r="E49" s="4"/>
      <c r="G49" s="10">
        <v>1</v>
      </c>
      <c r="H49" s="10">
        <v>2</v>
      </c>
    </row>
    <row r="50" spans="1:10" x14ac:dyDescent="0.3">
      <c r="A50" s="2"/>
      <c r="G50" s="10">
        <v>3</v>
      </c>
      <c r="H50" s="10">
        <v>4</v>
      </c>
    </row>
    <row r="51" spans="1:10" x14ac:dyDescent="0.3">
      <c r="A51" s="2"/>
    </row>
    <row r="52" spans="1:10" x14ac:dyDescent="0.3">
      <c r="A52" s="2" t="s">
        <v>29</v>
      </c>
      <c r="B52" t="b">
        <f>C52=D52</f>
        <v>1</v>
      </c>
      <c r="C52">
        <v>2</v>
      </c>
      <c r="D52" s="6">
        <f>pyTestCustomConv(1)</f>
        <v>2</v>
      </c>
    </row>
    <row r="53" spans="1:10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0">
        <v>3</v>
      </c>
      <c r="H53" s="10">
        <v>4</v>
      </c>
    </row>
    <row r="54" spans="1:10" x14ac:dyDescent="0.3">
      <c r="B54" s="19" t="b">
        <f>AND(B52:B53)</f>
        <v>1</v>
      </c>
    </row>
    <row r="55" spans="1:10" x14ac:dyDescent="0.3">
      <c r="A55" s="2"/>
    </row>
    <row r="56" spans="1:10" x14ac:dyDescent="0.3">
      <c r="A56" s="2" t="s">
        <v>31</v>
      </c>
      <c r="B56" t="b">
        <f>C56=D56</f>
        <v>1</v>
      </c>
      <c r="C56">
        <f>H57</f>
        <v>2</v>
      </c>
      <c r="D56" s="6">
        <f>pyTestFrameFetch(J56,,"B")</f>
        <v>2</v>
      </c>
      <c r="G56" s="11" t="s">
        <v>30</v>
      </c>
      <c r="H56" s="11" t="s">
        <v>27</v>
      </c>
      <c r="I56" s="11" t="s">
        <v>28</v>
      </c>
      <c r="J56" s="12" t="str">
        <f>pyTestDFrame(G56:I57)</f>
        <v>欣[PythonTest.xlsm]Test 1!R56C10DataFrame,A</v>
      </c>
    </row>
    <row r="57" spans="1:10" x14ac:dyDescent="0.3">
      <c r="A57" s="2"/>
      <c r="G57" s="11">
        <v>1</v>
      </c>
      <c r="H57" s="11">
        <v>2</v>
      </c>
      <c r="I57" s="11">
        <v>3</v>
      </c>
    </row>
    <row r="58" spans="1:10" x14ac:dyDescent="0.3">
      <c r="A58" s="2"/>
    </row>
    <row r="59" spans="1:10" x14ac:dyDescent="0.3">
      <c r="A59" s="2" t="s">
        <v>32</v>
      </c>
      <c r="B59" t="b">
        <f>C59=D59</f>
        <v>1</v>
      </c>
      <c r="C59" t="str">
        <f>I60</f>
        <v>Foo</v>
      </c>
      <c r="D59" s="6" t="str">
        <f>pyTestFrameFetch(J59,0,"B")</f>
        <v>Foo</v>
      </c>
      <c r="G59" s="10" t="s">
        <v>33</v>
      </c>
      <c r="H59" s="10" t="s">
        <v>30</v>
      </c>
      <c r="I59" s="10" t="s">
        <v>27</v>
      </c>
      <c r="J59" s="12" t="str">
        <f>pyTestDFrameIndex(G59:I61)</f>
        <v>欣[PythonTest.xlsm]Test 1!R59C10,A</v>
      </c>
    </row>
    <row r="60" spans="1:10" x14ac:dyDescent="0.3">
      <c r="A60" s="2"/>
      <c r="B60" t="b">
        <f>C60=D60</f>
        <v>1</v>
      </c>
      <c r="C60">
        <f>H61</f>
        <v>2.1</v>
      </c>
      <c r="D60" s="6">
        <f t="array" ref="D60:D61">pyTestFrameFetch(J59,1)</f>
        <v>2.1</v>
      </c>
      <c r="G60" s="10">
        <v>0</v>
      </c>
      <c r="H60" s="10">
        <v>5.3</v>
      </c>
      <c r="I60" s="10" t="s">
        <v>17</v>
      </c>
    </row>
    <row r="61" spans="1:10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10">
        <v>1</v>
      </c>
      <c r="H61" s="10">
        <v>2.1</v>
      </c>
      <c r="I61" s="10" t="s">
        <v>18</v>
      </c>
    </row>
    <row r="62" spans="1:10" x14ac:dyDescent="0.3">
      <c r="A62" s="2"/>
    </row>
    <row r="63" spans="1:10" x14ac:dyDescent="0.3">
      <c r="A63" s="2" t="s">
        <v>47</v>
      </c>
      <c r="B63" t="b">
        <f t="array" ref="B63">SUM((D63:F65=G59:I61)+0)=9</f>
        <v>1</v>
      </c>
      <c r="D63" s="6" t="str">
        <f t="array" ref="D63:F65">pyTestFrameFetch(J59)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D65" s="6">
        <v>1</v>
      </c>
      <c r="E65" s="6">
        <v>2.1</v>
      </c>
      <c r="F65" s="6" t="str">
        <v>Bar</v>
      </c>
    </row>
    <row r="67" spans="1:7" x14ac:dyDescent="0.3">
      <c r="B67" t="b">
        <f t="array" ref="B67">SUM((D67:F68=G59:I60)+0)=6</f>
        <v>1</v>
      </c>
      <c r="D67" s="6" t="str">
        <f t="array" ref="D67:F68">pyTestFrameWrite(J59)</f>
        <v>Time</v>
      </c>
      <c r="E67" s="6" t="str">
        <v>A</v>
      </c>
      <c r="F67" s="6" t="str">
        <v>B</v>
      </c>
    </row>
    <row r="68" spans="1:7" x14ac:dyDescent="0.3">
      <c r="D68" s="6">
        <v>0</v>
      </c>
      <c r="E68" s="6">
        <v>5.3</v>
      </c>
      <c r="F68" s="6" t="str">
        <v>Foo</v>
      </c>
    </row>
    <row r="69" spans="1:7" x14ac:dyDescent="0.3">
      <c r="B69" s="19" t="b">
        <f>AND(B56:B68)</f>
        <v>1</v>
      </c>
    </row>
    <row r="71" spans="1:7" x14ac:dyDescent="0.3">
      <c r="A71" s="2" t="s">
        <v>34</v>
      </c>
      <c r="B71" t="b">
        <f>C71=D71</f>
        <v>1</v>
      </c>
      <c r="C71" s="3">
        <f>G71+1</f>
        <v>42737</v>
      </c>
      <c r="D71" s="7">
        <f>pyTestDate(G71)</f>
        <v>42737</v>
      </c>
      <c r="E71" s="3"/>
      <c r="G71" s="13">
        <v>42736</v>
      </c>
    </row>
    <row r="72" spans="1:7" x14ac:dyDescent="0.3">
      <c r="B72" t="b">
        <f>D72=C72</f>
        <v>1</v>
      </c>
      <c r="C72" s="3">
        <v>42768</v>
      </c>
      <c r="D72" s="7">
        <f>pyTestDate(G72)</f>
        <v>42768</v>
      </c>
      <c r="E72" s="3"/>
      <c r="G72" s="14" t="s">
        <v>35</v>
      </c>
    </row>
    <row r="73" spans="1:7" x14ac:dyDescent="0.3">
      <c r="B73" s="19" t="b">
        <f>AND(B71:B72)</f>
        <v>1</v>
      </c>
    </row>
    <row r="75" spans="1:7" x14ac:dyDescent="0.3">
      <c r="A75" s="2" t="s">
        <v>39</v>
      </c>
      <c r="B75" s="19" t="b">
        <f>E81&lt;&gt;F81</f>
        <v>1</v>
      </c>
      <c r="D75" t="s">
        <v>40</v>
      </c>
      <c r="E75">
        <v>3</v>
      </c>
      <c r="F75">
        <v>1</v>
      </c>
      <c r="G75">
        <v>4</v>
      </c>
    </row>
    <row r="76" spans="1:7" x14ac:dyDescent="0.3">
      <c r="A76" t="s">
        <v>46</v>
      </c>
      <c r="D76" t="s">
        <v>41</v>
      </c>
      <c r="E76">
        <v>3</v>
      </c>
      <c r="F76">
        <v>2</v>
      </c>
      <c r="G76">
        <v>7</v>
      </c>
    </row>
    <row r="77" spans="1:7" x14ac:dyDescent="0.3">
      <c r="D77" t="s">
        <v>42</v>
      </c>
      <c r="E77">
        <v>500</v>
      </c>
      <c r="F77">
        <f>E77</f>
        <v>500</v>
      </c>
      <c r="G77">
        <f>E77</f>
        <v>500</v>
      </c>
    </row>
    <row r="78" spans="1:7" x14ac:dyDescent="0.3">
      <c r="D78" t="s">
        <v>43</v>
      </c>
      <c r="E78">
        <f>E77</f>
        <v>500</v>
      </c>
      <c r="F78">
        <f>E78</f>
        <v>500</v>
      </c>
      <c r="G78">
        <f>E78</f>
        <v>500</v>
      </c>
    </row>
    <row r="79" spans="1:7" x14ac:dyDescent="0.3">
      <c r="D79" t="s">
        <v>44</v>
      </c>
      <c r="E79">
        <f>E78</f>
        <v>500</v>
      </c>
      <c r="F79">
        <f>E79</f>
        <v>500</v>
      </c>
      <c r="G79">
        <f>E79</f>
        <v>500</v>
      </c>
    </row>
    <row r="80" spans="1:7" x14ac:dyDescent="0.3">
      <c r="D80" t="s">
        <v>45</v>
      </c>
      <c r="E80">
        <f>E79</f>
        <v>500</v>
      </c>
      <c r="F80">
        <f>E80</f>
        <v>500</v>
      </c>
      <c r="G80">
        <f>E80</f>
        <v>500</v>
      </c>
    </row>
    <row r="81" spans="1:8" x14ac:dyDescent="0.3">
      <c r="E81" s="6">
        <f>_xll.pyThreadTest(E75,E76,E77,E78,E79,E80)</f>
        <v>23172</v>
      </c>
      <c r="F81" s="6">
        <f>_xll.pyThreadTest(F75,F76,F77,F78,F79,F80)</f>
        <v>11328</v>
      </c>
      <c r="G81" s="6">
        <f>_xll.pyThreadTest(G75,G76,G77,G78,G79,G80)</f>
        <v>13376</v>
      </c>
    </row>
    <row r="84" spans="1:8" x14ac:dyDescent="0.3">
      <c r="A84" s="2" t="s">
        <v>67</v>
      </c>
      <c r="B84" s="19" t="e">
        <f ca="1">C84=D85</f>
        <v>#NAME?</v>
      </c>
      <c r="C84" t="s">
        <v>48</v>
      </c>
      <c r="D84" t="e" cm="1">
        <f t="array" ref="D84">_xll.xloImport(pyWbPath()&amp;"\TestModule.py", "*")</f>
        <v>#N/A</v>
      </c>
    </row>
    <row r="85" spans="1:8" x14ac:dyDescent="0.3">
      <c r="A85" t="s">
        <v>49</v>
      </c>
      <c r="B85" s="19" t="b">
        <f ca="1">C87=D87</f>
        <v>0</v>
      </c>
      <c r="D85" s="6" t="e">
        <f ca="1">pyTestLoadMod()</f>
        <v>#NAME?</v>
      </c>
    </row>
    <row r="86" spans="1:8" x14ac:dyDescent="0.3">
      <c r="D86" t="e" cm="1">
        <f t="array" aca="1" ref="D86" ca="1">pyFooBar(1)</f>
        <v>#NAME?</v>
      </c>
    </row>
    <row r="87" spans="1:8" x14ac:dyDescent="0.3">
      <c r="C87">
        <v>16</v>
      </c>
      <c r="D87" t="str" cm="1">
        <f t="array" aca="1" ref="D87" ca="1">_xll.xloAttr(D86,"xplus",,3,4)</f>
        <v xml:space="preserve">AttributeError: AttributeError: 'xloil_core.CellError' object has no attribute 'xplus'
Traceback (most recent call last):
  File "C:\lib\conda39\lib\site-packages\xloil\excelfuncs.py", line 62, in xloAttr
    return _xlo_attr_helper(Object, Name, *Args, **Kwargs)
  File "C:\lib\conda39\lib\site-packages\xloil\excelfuncs.py", line 44, in _xlo_attr_helper
    attr = getattr(Object, Name)
AttributeError: 'xloil_core.CellError' object has no attribute 'xplus'
</v>
      </c>
    </row>
    <row r="89" spans="1:8" x14ac:dyDescent="0.3">
      <c r="A89" s="2" t="s">
        <v>50</v>
      </c>
      <c r="B89" s="19" t="b">
        <f>AND(D89=F89+1, D90=G89+1, D91=H89+1,D92=F90+1,D93=G90+1)</f>
        <v>1</v>
      </c>
      <c r="D89" s="6">
        <f t="array" ref="D89:D93">pyTestDateConv(F89:H90)</f>
        <v>43001</v>
      </c>
      <c r="F89" s="10">
        <v>43000</v>
      </c>
      <c r="G89" s="10">
        <v>44000</v>
      </c>
      <c r="H89" s="10">
        <v>45000.66</v>
      </c>
    </row>
    <row r="90" spans="1:8" x14ac:dyDescent="0.3">
      <c r="D90" s="6">
        <v>44001</v>
      </c>
      <c r="F90" s="10">
        <f>G89</f>
        <v>44000</v>
      </c>
      <c r="G90" s="10">
        <v>37000</v>
      </c>
      <c r="H90" s="10">
        <f>H89</f>
        <v>45000.66</v>
      </c>
    </row>
    <row r="91" spans="1:8" x14ac:dyDescent="0.3">
      <c r="D91" s="6">
        <v>45001.66</v>
      </c>
    </row>
    <row r="92" spans="1:8" x14ac:dyDescent="0.3">
      <c r="D92" s="6">
        <v>44001</v>
      </c>
    </row>
    <row r="93" spans="1:8" x14ac:dyDescent="0.3">
      <c r="D93" s="6">
        <v>37001</v>
      </c>
    </row>
    <row r="95" spans="1:8" x14ac:dyDescent="0.3">
      <c r="A95" s="2" t="s">
        <v>52</v>
      </c>
      <c r="B95" s="19" t="b">
        <f>C95:C96=D95:D96</f>
        <v>1</v>
      </c>
      <c r="C95">
        <v>0</v>
      </c>
      <c r="D95" s="6">
        <f>pyTestDynamic0()</f>
        <v>0</v>
      </c>
    </row>
    <row r="96" spans="1:8" x14ac:dyDescent="0.3">
      <c r="C96">
        <v>2</v>
      </c>
      <c r="D96" s="6">
        <f>pyTestDynamic2()</f>
        <v>2</v>
      </c>
    </row>
    <row r="98" spans="1:4" x14ac:dyDescent="0.3">
      <c r="A98" s="2" t="s">
        <v>53</v>
      </c>
      <c r="B98" s="19" t="b">
        <f>C98=D98</f>
        <v>1</v>
      </c>
      <c r="C98" t="str">
        <f>pyTestWorkbooks()</f>
        <v>PythonTest.xlsm</v>
      </c>
      <c r="D98" s="6" t="str">
        <f>pyTestWorkbooks()</f>
        <v>PythonTest.xlsm</v>
      </c>
    </row>
    <row r="100" spans="1:4" x14ac:dyDescent="0.3">
      <c r="A100" s="2" t="s">
        <v>56</v>
      </c>
      <c r="B100" s="19" t="b">
        <f>C100=D100</f>
        <v>1</v>
      </c>
      <c r="C100">
        <v>6</v>
      </c>
      <c r="D100" s="6">
        <f>pyTestExcelCall("sum",1,2,3)</f>
        <v>6</v>
      </c>
    </row>
    <row r="103" spans="1:4" x14ac:dyDescent="0.3">
      <c r="A103" s="2" t="s">
        <v>57</v>
      </c>
      <c r="B103" t="b">
        <f ca="1">C103=D103</f>
        <v>1</v>
      </c>
      <c r="C103" t="str">
        <f ca="1">"="&amp;SUBSTITUTE(CELL("address",C100)&amp;"="&amp;CELL("address",D100),"$","")</f>
        <v>=C100=D100</v>
      </c>
      <c r="D103" s="6" t="str">
        <f>pyTestExcelCall("getcell",6,Test_ExcelCall)</f>
        <v>=C100=D100</v>
      </c>
    </row>
    <row r="104" spans="1:4" x14ac:dyDescent="0.3">
      <c r="B104" t="b">
        <f ca="1">C104=D104</f>
        <v>1</v>
      </c>
      <c r="C104" t="str">
        <f ca="1">C103</f>
        <v>=C100=D100</v>
      </c>
      <c r="D104" s="6" t="str">
        <f ca="1">_xll.pyTestRangeFormula2(Test_ExcelCall)</f>
        <v>=C100=D100</v>
      </c>
    </row>
    <row r="105" spans="1:4" x14ac:dyDescent="0.3">
      <c r="B105" t="b">
        <f ca="1">C105=D105</f>
        <v>1</v>
      </c>
      <c r="C105" t="str">
        <f ca="1">C104</f>
        <v>=C100=D100</v>
      </c>
      <c r="D105" s="6" t="str">
        <f>pyTestRangeFormula(Test_ExcelCall)</f>
        <v>=C100=D100</v>
      </c>
    </row>
    <row r="106" spans="1:4" x14ac:dyDescent="0.3">
      <c r="B106" s="19" t="b">
        <f ca="1">AND(B103:B105)</f>
        <v>1</v>
      </c>
    </row>
    <row r="108" spans="1:4" x14ac:dyDescent="0.3">
      <c r="A108" s="2" t="s">
        <v>58</v>
      </c>
      <c r="B108" t="b">
        <f>C108=D108</f>
        <v>1</v>
      </c>
      <c r="C108" t="str">
        <f>C98</f>
        <v>PythonTest.xlsm</v>
      </c>
      <c r="D108" s="6" t="str">
        <f>pyTestAppRun("pyTestWorkbooks")</f>
        <v>PythonTest.xlsm</v>
      </c>
    </row>
    <row r="109" spans="1:4" x14ac:dyDescent="0.3">
      <c r="B109" t="b">
        <f>C109=D109</f>
        <v>1</v>
      </c>
      <c r="C109">
        <v>6</v>
      </c>
      <c r="D109" s="6">
        <f>pyTestAppRun("pySum",1,2,3)</f>
        <v>6</v>
      </c>
    </row>
    <row r="110" spans="1:4" x14ac:dyDescent="0.3">
      <c r="B110" t="b">
        <f ca="1">C110=SUBSTITUTE(D110, "'","")</f>
        <v>0</v>
      </c>
      <c r="C110" t="str">
        <f ca="1">MID(CELL("filename"),FIND("[",CELL("filename")),100)&amp;"!"&amp;ADDRESS(ROW(E109),COLUMN(E109),4)</f>
        <v>[Test.xlsx]Sheet1!E109</v>
      </c>
      <c r="D110" s="6" t="str">
        <f>pyTestAppRun("pyTestRange", D108)</f>
        <v>'[PythonTest.xlsm]Test 1'!E109</v>
      </c>
    </row>
    <row r="111" spans="1:4" x14ac:dyDescent="0.3">
      <c r="B111" s="19" t="b">
        <f ca="1">AND(B108:B110)</f>
        <v>0</v>
      </c>
    </row>
  </sheetData>
  <conditionalFormatting sqref="B8:B11 B14:B19 B21:B23 B25 B31:B33 B55:B60 B44:B53 B83 B74 B76:B81 B90:B94 B96:B97 B99 B27:B29 B35:B37 B40:B41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1:B68 B70:B72">
    <cfRule type="expression" dxfId="14" priority="18">
      <formula>IFERROR(NOT(OR(ISBLANK(B61),B61)),TRUE)</formula>
    </cfRule>
  </conditionalFormatting>
  <conditionalFormatting sqref="B103:B105">
    <cfRule type="expression" dxfId="13" priority="17">
      <formula>IFERROR(NOT(OR(ISBLANK(B103),B103)),TRUE)</formula>
    </cfRule>
  </conditionalFormatting>
  <conditionalFormatting sqref="B108:B109">
    <cfRule type="expression" dxfId="12" priority="16">
      <formula>IFERROR(NOT(OR(ISBLANK(B108),B108)),TRUE)</formula>
    </cfRule>
  </conditionalFormatting>
  <conditionalFormatting sqref="B110">
    <cfRule type="expression" dxfId="11" priority="13">
      <formula>IFERROR(NOT(OR(ISBLANK(B110),B110)),TRUE)</formula>
    </cfRule>
  </conditionalFormatting>
  <conditionalFormatting sqref="B54">
    <cfRule type="expression" dxfId="10" priority="12">
      <formula>IFERROR(NOT(OR(ISBLANK(B54),B54)),TRUE)</formula>
    </cfRule>
  </conditionalFormatting>
  <conditionalFormatting sqref="B69">
    <cfRule type="expression" dxfId="9" priority="11">
      <formula>IFERROR(NOT(OR(ISBLANK(B69),B69)),TRUE)</formula>
    </cfRule>
  </conditionalFormatting>
  <conditionalFormatting sqref="B73">
    <cfRule type="expression" dxfId="8" priority="10">
      <formula>IFERROR(NOT(OR(ISBLANK(B73),B73)),TRUE)</formula>
    </cfRule>
  </conditionalFormatting>
  <conditionalFormatting sqref="B75">
    <cfRule type="expression" dxfId="7" priority="9">
      <formula>IFERROR(NOT(OR(ISBLANK(B75),B75)),TRUE)</formula>
    </cfRule>
  </conditionalFormatting>
  <conditionalFormatting sqref="B84:B85">
    <cfRule type="expression" dxfId="6" priority="8">
      <formula>IFERROR(NOT(OR(ISBLANK(B84),B84)),TRUE)</formula>
    </cfRule>
  </conditionalFormatting>
  <conditionalFormatting sqref="B89">
    <cfRule type="expression" dxfId="5" priority="7">
      <formula>IFERROR(NOT(OR(ISBLANK(B89),B89)),TRUE)</formula>
    </cfRule>
  </conditionalFormatting>
  <conditionalFormatting sqref="B95">
    <cfRule type="expression" dxfId="4" priority="6">
      <formula>IFERROR(NOT(OR(ISBLANK(B95),B95)),TRUE)</formula>
    </cfRule>
  </conditionalFormatting>
  <conditionalFormatting sqref="B98">
    <cfRule type="expression" dxfId="3" priority="5">
      <formula>IFERROR(NOT(OR(ISBLANK(B98),B98)),TRUE)</formula>
    </cfRule>
  </conditionalFormatting>
  <conditionalFormatting sqref="B100">
    <cfRule type="expression" dxfId="2" priority="4">
      <formula>IFERROR(NOT(OR(ISBLANK(B100),B100)),TRUE)</formula>
    </cfRule>
  </conditionalFormatting>
  <conditionalFormatting sqref="B106">
    <cfRule type="expression" dxfId="1" priority="3">
      <formula>IFERROR(NOT(OR(ISBLANK(B106),B106)),TRUE)</formula>
    </cfRule>
  </conditionalFormatting>
  <conditionalFormatting sqref="B111">
    <cfRule type="expression" dxfId="0" priority="1">
      <formula>IFERROR(NOT(OR(ISBLANK(B111),B111)),TRUE)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64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2023-01-30T01:30:12Z</dcterms:modified>
</cp:coreProperties>
</file>