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TestSheets\"/>
    </mc:Choice>
  </mc:AlternateContent>
  <xr:revisionPtr revIDLastSave="0" documentId="13_ncr:1_{28FE4E98-49A6-479B-927F-882084F14E2E}" xr6:coauthVersionLast="47" xr6:coauthVersionMax="47" xr10:uidLastSave="{00000000-0000-0000-0000-000000000000}"/>
  <bookViews>
    <workbookView xWindow="8580" yWindow="900" windowWidth="14460" windowHeight="11460" xr2:uid="{00000000-000D-0000-FFFF-FFFF00000000}"/>
  </bookViews>
  <sheets>
    <sheet name="Test 1" sheetId="1" r:id="rId1"/>
    <sheet name="RTD" sheetId="2" r:id="rId2"/>
    <sheet name="{Settings}" sheetId="3" r:id="rId3"/>
  </sheets>
  <functionGroups builtInGroupCount="19"/>
  <definedNames>
    <definedName name="Settings_Wait">'{Settings}'!$B$1</definedName>
    <definedName name="Test_AppRun">'Test 1'!$B$109</definedName>
    <definedName name="Test_Array1d">'Test 1'!$B$24</definedName>
    <definedName name="Test_Array2d">'Test 1'!$B$29</definedName>
    <definedName name="Test_Async">'Test 1'!$B$37</definedName>
    <definedName name="Test_Cache">'Test 1'!$B$41</definedName>
    <definedName name="Test_ComBasic">'Test 1'!$B$46</definedName>
    <definedName name="Test_CustomConverter">'Test 1'!$B$53</definedName>
    <definedName name="Test_Dataframe">'Test 1'!$B$68</definedName>
    <definedName name="Test_Date">'Test 1'!$B$72</definedName>
    <definedName name="Test_DateConversion">'Test 1'!$B$87</definedName>
    <definedName name="Test_DynamicRegistration">'Test 1'!$B$93</definedName>
    <definedName name="Test_ExcelCall">'Test 1'!$B$98</definedName>
    <definedName name="Test_ExternalLoad">'Test 1'!$B$83</definedName>
    <definedName name="Test_GetFormula">'Test 1'!$B$104</definedName>
    <definedName name="Test_IteratorReturn">'Test 1'!$B$44</definedName>
    <definedName name="Test_Kwargs">'Test 1'!$B$33</definedName>
    <definedName name="Test_RoundTrip">'Test 1'!$B$20</definedName>
    <definedName name="Test_Sum">'Test 1'!$B$12</definedName>
    <definedName name="Test_Threaded">'Test 1'!$B$74</definedName>
    <definedName name="Test_WorkbooksObject">'Test 1'!$B$96</definedName>
    <definedName name="TestArea" localSheetId="0">'Test 1'!$G$1:$J$3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2" l="1"/>
  <c r="C5" i="2"/>
  <c r="C108" i="1"/>
  <c r="C101" i="1"/>
  <c r="D102" i="1"/>
  <c r="D101" i="1"/>
  <c r="D10" i="2"/>
  <c r="D103" i="1"/>
  <c r="D11" i="2"/>
  <c r="D1" i="2"/>
  <c r="B11" i="2" l="1"/>
  <c r="B101" i="1"/>
  <c r="B10" i="2"/>
  <c r="C16" i="2"/>
  <c r="C14" i="2"/>
  <c r="C15" i="2"/>
  <c r="D8" i="2"/>
  <c r="B8" i="2" l="1"/>
  <c r="B4" i="1"/>
  <c r="D5" i="2"/>
  <c r="D108" i="1"/>
  <c r="D6" i="2"/>
  <c r="B6" i="2" l="1"/>
  <c r="B5" i="2"/>
  <c r="B3" i="2" s="1"/>
  <c r="B5" i="1" s="1"/>
  <c r="C102" i="1"/>
  <c r="C103" i="1" s="1"/>
  <c r="D94" i="1"/>
  <c r="C96" i="1"/>
  <c r="D93" i="1"/>
  <c r="D107" i="1"/>
  <c r="D106" i="1"/>
  <c r="D14" i="1"/>
  <c r="D36" i="1"/>
  <c r="D98" i="1"/>
  <c r="D96" i="1"/>
  <c r="B108" i="1" l="1"/>
  <c r="B109" i="1" s="1"/>
  <c r="C106" i="1"/>
  <c r="B106" i="1" s="1"/>
  <c r="B107" i="1"/>
  <c r="B103" i="1"/>
  <c r="B102" i="1"/>
  <c r="B98" i="1"/>
  <c r="B96" i="1"/>
  <c r="B93" i="1"/>
  <c r="C40" i="1"/>
  <c r="C48" i="1"/>
  <c r="D40" i="1"/>
  <c r="B104" i="1" l="1"/>
  <c r="B40" i="1"/>
  <c r="H88" i="1"/>
  <c r="F88" i="1"/>
  <c r="D87" i="1" a="1"/>
  <c r="D83" i="1"/>
  <c r="D85" i="1"/>
  <c r="D89" i="1" l="1"/>
  <c r="D90" i="1"/>
  <c r="D91" i="1"/>
  <c r="D87" i="1"/>
  <c r="D88" i="1"/>
  <c r="B83" i="1"/>
  <c r="D31" i="1" a="1"/>
  <c r="D84" i="1"/>
  <c r="B87" i="1" l="1"/>
  <c r="D31" i="1"/>
  <c r="E32" i="1"/>
  <c r="B32" i="1" s="1"/>
  <c r="E31" i="1"/>
  <c r="B31" i="1" s="1"/>
  <c r="D32" i="1"/>
  <c r="E77" i="1"/>
  <c r="F77" i="1" s="1"/>
  <c r="G76" i="1"/>
  <c r="F76" i="1"/>
  <c r="B33" i="1" l="1"/>
  <c r="E78" i="1"/>
  <c r="F78" i="1" s="1"/>
  <c r="G77" i="1"/>
  <c r="G78" i="1" l="1"/>
  <c r="E79" i="1"/>
  <c r="D35" i="1"/>
  <c r="D48" i="1"/>
  <c r="B48" i="1" l="1"/>
  <c r="F79" i="1"/>
  <c r="F80" i="1" s="1"/>
  <c r="G79" i="1"/>
  <c r="G80" i="1" s="1"/>
  <c r="C70" i="1"/>
  <c r="E80" i="1"/>
  <c r="D11" i="1"/>
  <c r="D71" i="1"/>
  <c r="B74" i="1" l="1"/>
  <c r="B71" i="1"/>
  <c r="D8" i="1"/>
  <c r="D70" i="1"/>
  <c r="B70" i="1" l="1"/>
  <c r="B72" i="1" s="1"/>
  <c r="C60" i="1"/>
  <c r="C59" i="1"/>
  <c r="C58" i="1"/>
  <c r="C55" i="1"/>
  <c r="C52" i="1"/>
  <c r="C35" i="1"/>
  <c r="C36" i="1" s="1"/>
  <c r="C27" i="1"/>
  <c r="C28" i="1" s="1"/>
  <c r="C22" i="1" a="1"/>
  <c r="C22" i="1" s="1"/>
  <c r="C18" i="1"/>
  <c r="C17" i="1"/>
  <c r="C19" i="1" s="1"/>
  <c r="J55" i="1"/>
  <c r="D15" i="1"/>
  <c r="D46" i="1"/>
  <c r="D44" i="1"/>
  <c r="C11" i="1"/>
  <c r="J58" i="1"/>
  <c r="D9" i="1"/>
  <c r="D10" i="1"/>
  <c r="D51" i="1"/>
  <c r="D23" i="1"/>
  <c r="D18" i="1"/>
  <c r="D22" i="1"/>
  <c r="D17" i="1"/>
  <c r="G39" i="1"/>
  <c r="D16" i="1"/>
  <c r="D52" i="1"/>
  <c r="D27" i="1"/>
  <c r="D28" i="1"/>
  <c r="D19" i="1"/>
  <c r="B46" i="1" l="1"/>
  <c r="B11" i="1"/>
  <c r="B44" i="1"/>
  <c r="B27" i="1"/>
  <c r="B10" i="1"/>
  <c r="B17" i="1"/>
  <c r="B35" i="1"/>
  <c r="B51" i="1"/>
  <c r="B36" i="1"/>
  <c r="B14" i="1"/>
  <c r="B15" i="1"/>
  <c r="B8" i="1"/>
  <c r="B18" i="1"/>
  <c r="B9" i="1"/>
  <c r="B16" i="1"/>
  <c r="B23" i="1"/>
  <c r="B52" i="1"/>
  <c r="B22" i="1"/>
  <c r="B19" i="1"/>
  <c r="B28" i="1"/>
  <c r="D66" i="1" a="1"/>
  <c r="D62" i="1" a="1"/>
  <c r="D39" i="1"/>
  <c r="D55" i="1"/>
  <c r="D58" i="1"/>
  <c r="D59" i="1" a="1"/>
  <c r="B53" i="1" l="1"/>
  <c r="B29" i="1"/>
  <c r="B24" i="1"/>
  <c r="B37" i="1"/>
  <c r="B20" i="1"/>
  <c r="B12" i="1"/>
  <c r="F66" i="1"/>
  <c r="E67" i="1"/>
  <c r="F67" i="1"/>
  <c r="E66" i="1"/>
  <c r="D67" i="1"/>
  <c r="D66" i="1"/>
  <c r="F63" i="1"/>
  <c r="D64" i="1"/>
  <c r="D63" i="1"/>
  <c r="D62" i="1"/>
  <c r="F62" i="1"/>
  <c r="E63" i="1"/>
  <c r="F64" i="1"/>
  <c r="E62" i="1"/>
  <c r="E64" i="1"/>
  <c r="B55" i="1"/>
  <c r="D59" i="1"/>
  <c r="B59" i="1" s="1"/>
  <c r="D60" i="1"/>
  <c r="B60" i="1" s="1"/>
  <c r="B58" i="1"/>
  <c r="B39" i="1"/>
  <c r="B41" i="1" s="1"/>
  <c r="B3" i="1" l="1"/>
  <c r="B66" i="1" a="1"/>
  <c r="B66" i="1" s="1"/>
  <c r="B62" i="1" a="1"/>
  <c r="B62" i="1" s="1"/>
  <c r="B68" i="1" l="1"/>
</calcChain>
</file>

<file path=xl/sharedStrings.xml><?xml version="1.0" encoding="utf-8"?>
<sst xmlns="http://schemas.openxmlformats.org/spreadsheetml/2006/main" count="93" uniqueCount="80">
  <si>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</si>
  <si>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</si>
  <si>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</si>
  <si>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</si>
  <si>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</si>
  <si>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</si>
  <si>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</si>
  <si>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</si>
  <si>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</si>
  <si>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</si>
  <si>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</si>
  <si>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</si>
  <si>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</si>
  <si>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</si>
  <si>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</si>
  <si>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</si>
  <si>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</si>
  <si>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</si>
  <si>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</si>
  <si>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</si>
  <si>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</si>
  <si>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</si>
  <si>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</si>
  <si>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</si>
  <si>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</si>
  <si>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</si>
  <si>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</si>
  <si>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</si>
  <si>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</si>
  <si>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</si>
  <si>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</si>
  <si>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</si>
  <si>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</si>
  <si>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</si>
  <si>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</si>
  <si>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</si>
  <si>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</si>
  <si>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</si>
  <si>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</si>
  <si>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</si>
  <si>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</si>
  <si>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</si>
  <si>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</si>
  <si>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</si>
  <si>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</si>
  <si>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</si>
  <si>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</si>
  <si>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</si>
  <si>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</si>
  <si>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</si>
  <si>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</si>
  <si>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</si>
  <si>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</si>
  <si>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</si>
  <si>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</si>
  <si>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</si>
  <si>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</si>
  <si>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</si>
  <si>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</si>
  <si>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</si>
  <si>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</si>
  <si>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</si>
  <si>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</si>
  <si>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</si>
  <si>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</si>
  <si>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</si>
  <si>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</si>
  <si>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</si>
  <si>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</si>
  <si>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</si>
  <si>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pyTestRtdArray</t>
  </si>
  <si>
    <t>pyTestRtdManual</t>
  </si>
  <si>
    <t>{90160000-000F-0000-1000-0000000FF1CE}</t>
  </si>
  <si>
    <t>pyTestExcelFuncAsync</t>
  </si>
  <si>
    <t>pyTestCallerRTD</t>
  </si>
  <si>
    <t>Clock</t>
  </si>
  <si>
    <t>RTD TESTS</t>
  </si>
  <si>
    <t>Calc on Test 1 finished at: 2022-06-17 20:57:50.934535</t>
  </si>
  <si>
    <t>Wait</t>
  </si>
  <si>
    <t>Calc finished at: 2022-06-17 23:10:52.459530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</si>
</sst>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  <xf numFmtId="0" fontId="0" fillId="0" borderId="0" xfId="0" quotePrefix="1" applyBorder="1"/>
    <xf numFmtId="0" fontId="1" fillId="0" borderId="0" xfId="0" quotePrefix="1" applyNumberFormat="1" applyFont="1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0" fillId="5" borderId="0" xfId="0" applyFill="1"/>
    <xf numFmtId="0" fontId="0" fillId="0" borderId="0" xfId="0" applyFill="1" applyBorder="1"/>
    <xf numFmtId="0" fontId="0" fillId="0" borderId="5" xfId="0" applyBorder="1"/>
    <xf numFmtId="0" fontId="0" fillId="0" borderId="3" xfId="0" applyBorder="1"/>
    <xf numFmtId="0" fontId="0" fillId="0" borderId="6" xfId="0" applyFill="1" applyBorder="1"/>
    <xf numFmtId="0" fontId="0" fillId="0" borderId="4" xfId="0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Fill="1" applyBorder="1"/>
    <xf numFmtId="0" fontId="0" fillId="6" borderId="0" xfId="0" applyFill="1" applyBorder="1"/>
  </cellXfs>
  <cellStyles count="2">
    <cellStyle name="Hyperlink" xfId="1" builtinId="8"/>
    <cellStyle name="Normal" xfId="0" builtinId="0"/>
  </cellStyles>
  <dxfs count="23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9296cfb6.a71b.4913.993a.851e63ba24c2">
      <tp>
        <v>0</v>
        <stp/>
        <stp>{E5C15842-F4FD-4B64-8302-7CEE74F4B090}</stp>
        <tr r="D36" s="1"/>
      </tp>
    </main>
    <main first="xloil.95bfd7e1.ec0e.4f66.9909.0e7ff83d2662">
      <tp>
        <v>0</v>
        <stp/>
        <stp>Time:2.0</stp>
        <tr r="D11" s="2"/>
      </tp>
    </main>
    <main first="xloil.9296cfb6.a71b.4913.993a.851e63ba24c2">
      <tp>
        <v>0</v>
        <stp/>
        <stp>{EF29F181-A720-4F16-BCB8-583DAA457C56}</stp>
        <tr r="D8" s="2"/>
      </tp>
      <tp>
        <v>0</v>
        <stp/>
        <stp>{78606D52-4C61-4675-9F1C-78D1E03412E8}</stp>
        <tr r="D6" s="2"/>
      </tp>
      <tp>
        <v>0</v>
        <stp/>
        <stp>{0F47A92D-0EAF-4D5E-BE00-FEB1A3B16BA6}</stp>
        <tr r="D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109"/>
  <sheetViews>
    <sheetView showGridLines="0" tabSelected="1" workbookViewId="0">
      <selection activeCell="C2" sqref="C2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style="12" customWidth="1"/>
    <col min="6" max="6" width="15" style="5" customWidth="1"/>
    <col min="7" max="7" width="13.33203125" style="5" customWidth="1"/>
    <col min="8" max="8" width="15.88671875" style="5" customWidth="1"/>
    <col min="9" max="9" width="8.88671875" style="5"/>
  </cols>
  <sheetData>
    <row r="1" spans="1:11" x14ac:dyDescent="0.3">
      <c r="A1" s="6" t="s">
        <v>77</v>
      </c>
      <c r="B1" s="6"/>
      <c r="C1" s="6"/>
      <c r="D1" s="25"/>
      <c r="F1" s="35"/>
      <c r="G1" s="39" t="s">
        <v>69</v>
      </c>
      <c r="H1" s="40" t="s">
        <v>68</v>
      </c>
      <c r="I1" s="40" t="s">
        <v>68</v>
      </c>
      <c r="J1" s="40" t="s">
        <v>68</v>
      </c>
      <c r="K1" s="41" t="s">
        <v>68</v>
      </c>
    </row>
    <row r="2" spans="1:11" x14ac:dyDescent="0.3">
      <c r="A2" s="25"/>
      <c r="B2" s="25"/>
      <c r="C2" s="25"/>
      <c r="D2" s="25"/>
      <c r="F2" s="35"/>
      <c r="G2" s="42"/>
      <c r="J2" s="5"/>
      <c r="K2" s="43"/>
    </row>
    <row r="3" spans="1:11" x14ac:dyDescent="0.3">
      <c r="A3" s="33" t="s">
        <v>63</v>
      </c>
      <c r="B3" s="34" t="e">
        <f ca="1">AND(B8:B201)</f>
        <v>#VALUE!</v>
      </c>
      <c r="F3" s="35"/>
      <c r="G3" s="44"/>
      <c r="H3" s="45"/>
      <c r="I3" s="45"/>
      <c r="J3" s="45"/>
      <c r="K3" s="46"/>
    </row>
    <row r="4" spans="1:11" x14ac:dyDescent="0.3">
      <c r="A4" s="33" t="s">
        <v>64</v>
      </c>
      <c r="B4" s="34" t="b">
        <f>G1="OK"</f>
        <v>1</v>
      </c>
      <c r="C4" s="12"/>
      <c r="G4" s="36"/>
      <c r="H4" s="36"/>
      <c r="I4" s="36"/>
      <c r="J4" s="36"/>
      <c r="K4" s="12"/>
    </row>
    <row r="5" spans="1:11" x14ac:dyDescent="0.3">
      <c r="A5" s="33" t="s">
        <v>76</v>
      </c>
      <c r="B5" s="34" t="e">
        <f>RTD!B3</f>
        <v>#N/A</v>
      </c>
      <c r="C5" s="12"/>
      <c r="G5" s="38"/>
      <c r="H5" s="38"/>
      <c r="I5" s="38"/>
      <c r="J5" s="38"/>
      <c r="K5" s="12"/>
    </row>
    <row r="6" spans="1:11" x14ac:dyDescent="0.3">
      <c r="A6" s="33"/>
      <c r="B6" s="5"/>
      <c r="C6" s="12"/>
      <c r="G6" s="38"/>
      <c r="H6" s="38"/>
      <c r="I6" s="38"/>
      <c r="J6" s="38"/>
      <c r="K6" s="12"/>
    </row>
    <row r="7" spans="1:11" x14ac:dyDescent="0.3">
      <c r="A7" s="1" t="s">
        <v>38</v>
      </c>
      <c r="B7" s="1" t="s">
        <v>2</v>
      </c>
      <c r="C7" s="1" t="s">
        <v>13</v>
      </c>
      <c r="D7" s="1" t="s">
        <v>14</v>
      </c>
      <c r="E7" s="13"/>
      <c r="G7" s="1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7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10" t="str">
        <f>pySum(1,2)</f>
        <v>Error in arg 3 'z': Cannot convert : Unknown type</v>
      </c>
      <c r="H9" s="24"/>
    </row>
    <row r="10" spans="1:11" x14ac:dyDescent="0.3">
      <c r="A10" s="2" t="s">
        <v>1</v>
      </c>
      <c r="B10" t="b">
        <f>C10=D10</f>
        <v>1</v>
      </c>
      <c r="C10">
        <v>9</v>
      </c>
      <c r="D10" s="7">
        <f>pySumNums(1,2,3)</f>
        <v>9</v>
      </c>
      <c r="F10" s="32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3.2: Expected int</v>
      </c>
      <c r="D11" s="10" t="str">
        <f>pySumNums(1,2,3.2)</f>
        <v>Error in arg 3 'a': Cannot convert 3.2: Expected int</v>
      </c>
    </row>
    <row r="12" spans="1:11" x14ac:dyDescent="0.3">
      <c r="B12" s="37" t="b">
        <f>AND(B8:B11)</f>
        <v>1</v>
      </c>
    </row>
    <row r="14" spans="1:11" x14ac:dyDescent="0.3">
      <c r="A14" s="2" t="s">
        <v>5</v>
      </c>
      <c r="B14" s="17" t="b">
        <f>D14=C14</f>
        <v>1</v>
      </c>
      <c r="C14">
        <v>3</v>
      </c>
      <c r="D14" s="7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7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8">
        <f>pyRoundTrip(C16)</f>
        <v>42736</v>
      </c>
      <c r="E16" s="14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7">
        <f>SUM(pyRoundTrip(G17:I17))</f>
        <v>6</v>
      </c>
      <c r="G17" s="18">
        <v>1</v>
      </c>
      <c r="H17" s="18">
        <v>2</v>
      </c>
      <c r="I17" s="18">
        <v>3</v>
      </c>
      <c r="J17" s="5"/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7" t="e">
        <f>(pyRoundTrip(G18:I18))</f>
        <v>#N/A</v>
      </c>
      <c r="J18" s="5"/>
    </row>
    <row r="19" spans="1:10" x14ac:dyDescent="0.3">
      <c r="A19" s="2" t="s">
        <v>26</v>
      </c>
      <c r="B19" t="e">
        <f ca="1">C19=D19</f>
        <v>#VALUE!</v>
      </c>
      <c r="C19">
        <f>C17</f>
        <v>6</v>
      </c>
      <c r="D19" s="7" t="e">
        <f ca="1">SUM(pyRoundTrip(_xll.xloRef(G17:I17)))</f>
        <v>#VALUE!</v>
      </c>
      <c r="J19" s="5"/>
    </row>
    <row r="20" spans="1:10" x14ac:dyDescent="0.3">
      <c r="A20" s="2"/>
      <c r="B20" s="37" t="e">
        <f ca="1">AND(B14:B19)</f>
        <v>#VALUE!</v>
      </c>
      <c r="J20" s="5"/>
    </row>
    <row r="21" spans="1:10" x14ac:dyDescent="0.3">
      <c r="J21" s="5"/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7">
        <f>SUM(pyTestArr1d(H22:J22,G22))</f>
        <v>18.600000000000001</v>
      </c>
      <c r="G22" s="18">
        <v>3.1</v>
      </c>
      <c r="H22" s="18">
        <v>1</v>
      </c>
      <c r="I22" s="18">
        <v>2</v>
      </c>
      <c r="J22" s="18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7" t="str">
        <f>pyTestArr1d(H23:J24,G23)</f>
        <v>Error in arg 1 'x': Failed reading [2 x 3]: Expecting a 1-dim array</v>
      </c>
      <c r="G23" s="18">
        <v>3.1</v>
      </c>
      <c r="H23" s="18">
        <v>1</v>
      </c>
      <c r="I23" s="18">
        <v>2</v>
      </c>
      <c r="J23" s="18">
        <v>3</v>
      </c>
    </row>
    <row r="24" spans="1:10" x14ac:dyDescent="0.3">
      <c r="B24" s="37" t="b">
        <f>AND(B22:B23)</f>
        <v>1</v>
      </c>
      <c r="G24" s="18"/>
      <c r="H24" s="18">
        <v>4</v>
      </c>
      <c r="I24" s="18">
        <v>5</v>
      </c>
      <c r="J24" s="18">
        <v>6</v>
      </c>
    </row>
    <row r="25" spans="1:10" x14ac:dyDescent="0.3">
      <c r="J25" s="5"/>
    </row>
    <row r="26" spans="1:10" x14ac:dyDescent="0.3">
      <c r="J26" s="5"/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7">
        <f>SUM(pyTestArr2d(G27:H28))</f>
        <v>10</v>
      </c>
      <c r="G27" s="18">
        <v>1</v>
      </c>
      <c r="H27" s="18">
        <v>2</v>
      </c>
      <c r="J27" s="5"/>
    </row>
    <row r="28" spans="1:10" x14ac:dyDescent="0.3">
      <c r="A28" s="2" t="s">
        <v>27</v>
      </c>
      <c r="B28" t="e">
        <f ca="1">C28=D28</f>
        <v>#VALUE!</v>
      </c>
      <c r="C28">
        <f>C27</f>
        <v>10</v>
      </c>
      <c r="D28" s="7" t="e">
        <f ca="1">SUM(pyTestArr2d(_xll.xloRef(G27:H28)))</f>
        <v>#VALUE!</v>
      </c>
      <c r="G28" s="18">
        <v>3</v>
      </c>
      <c r="H28" s="18">
        <v>4</v>
      </c>
      <c r="J28" s="5"/>
    </row>
    <row r="29" spans="1:10" x14ac:dyDescent="0.3">
      <c r="A29" s="2"/>
      <c r="B29" s="37" t="e">
        <f ca="1">AND(B27:B28)</f>
        <v>#VALUE!</v>
      </c>
      <c r="D29" s="5"/>
      <c r="E29" s="5"/>
    </row>
    <row r="31" spans="1:10" x14ac:dyDescent="0.3">
      <c r="A31" s="2" t="s">
        <v>21</v>
      </c>
      <c r="B31" t="b">
        <f>H31=E31</f>
        <v>1</v>
      </c>
      <c r="D31" s="7" t="str">
        <f t="array" ref="D31:E32">pyTestKwargs(G31:H32)</f>
        <v>Foo</v>
      </c>
      <c r="E31" s="7" t="str">
        <v>dead</v>
      </c>
      <c r="G31" s="18" t="s">
        <v>17</v>
      </c>
      <c r="H31" s="18" t="s">
        <v>19</v>
      </c>
    </row>
    <row r="32" spans="1:10" x14ac:dyDescent="0.3">
      <c r="A32" s="2"/>
      <c r="B32" t="b">
        <f>E32=H32</f>
        <v>1</v>
      </c>
      <c r="D32" s="7" t="str">
        <v>Bar</v>
      </c>
      <c r="E32" s="7" t="str">
        <v>parrot</v>
      </c>
      <c r="G32" s="18" t="s">
        <v>18</v>
      </c>
      <c r="H32" s="18" t="s">
        <v>20</v>
      </c>
    </row>
    <row r="33" spans="1:13" x14ac:dyDescent="0.3">
      <c r="B33" s="37" t="b">
        <f>AND(B31:B32)</f>
        <v>1</v>
      </c>
    </row>
    <row r="34" spans="1:13" x14ac:dyDescent="0.3">
      <c r="A34" s="2"/>
    </row>
    <row r="35" spans="1:13" x14ac:dyDescent="0.3">
      <c r="A35" s="2" t="s">
        <v>22</v>
      </c>
      <c r="B35" t="e">
        <f ca="1">C35=D35</f>
        <v>#VALUE!</v>
      </c>
      <c r="C35" t="str">
        <f>G35</f>
        <v>foo</v>
      </c>
      <c r="D35" s="9" t="e">
        <f ca="1">_xll.pyTestAsync(G35,1)</f>
        <v>#VALUE!</v>
      </c>
      <c r="E35" s="15"/>
      <c r="G35" s="18" t="s">
        <v>23</v>
      </c>
    </row>
    <row r="36" spans="1:13" x14ac:dyDescent="0.3">
      <c r="A36" s="2" t="s">
        <v>41</v>
      </c>
      <c r="B36" t="e">
        <f>C36=D36</f>
        <v>#N/A</v>
      </c>
      <c r="C36" t="str">
        <f>C35</f>
        <v>foo</v>
      </c>
      <c r="D36" s="9" t="e">
        <f>pyTestAsyncRtd(G35,1)</f>
        <v>#N/A</v>
      </c>
    </row>
    <row r="37" spans="1:13" x14ac:dyDescent="0.3">
      <c r="B37" s="37" t="e">
        <f ca="1">AND(B35:B36)</f>
        <v>#VALUE!</v>
      </c>
    </row>
    <row r="39" spans="1:13" x14ac:dyDescent="0.3">
      <c r="A39" s="2" t="s">
        <v>25</v>
      </c>
      <c r="B39" t="b">
        <f>C39=D39</f>
        <v>1</v>
      </c>
      <c r="C39" t="s">
        <v>24</v>
      </c>
      <c r="D39" s="7" t="str">
        <f>pyTestCache(G39)</f>
        <v>Hello world</v>
      </c>
      <c r="G39" s="5" t="str">
        <f>pyTestCache()</f>
        <v>欣[PythonTest.xlsm]Test 1!R39C7CustomObj,A</v>
      </c>
    </row>
    <row r="40" spans="1:13" x14ac:dyDescent="0.3">
      <c r="A40" s="2" t="s">
        <v>60</v>
      </c>
      <c r="B40" t="e">
        <f ca="1">INDEX(_xll.xloVal(D40),1,1)=C40</f>
        <v>#VALUE!</v>
      </c>
      <c r="C40" t="str">
        <f>G31</f>
        <v>Foo</v>
      </c>
      <c r="D40" s="7" t="str">
        <f>pyTestToCache(G31:H32)</f>
        <v>永[PythonTest.xlsm]Test 1!R40C4,A</v>
      </c>
    </row>
    <row r="41" spans="1:13" x14ac:dyDescent="0.3">
      <c r="B41" s="37" t="e">
        <f ca="1">AND(B39:B40)</f>
        <v>#VALUE!</v>
      </c>
      <c r="M41" s="5"/>
    </row>
    <row r="42" spans="1:13" x14ac:dyDescent="0.3">
      <c r="M42" s="5"/>
    </row>
    <row r="43" spans="1:13" ht="13.8" customHeight="1" x14ac:dyDescent="0.3">
      <c r="M43" s="5"/>
    </row>
    <row r="44" spans="1:13" x14ac:dyDescent="0.3">
      <c r="A44" s="2" t="s">
        <v>28</v>
      </c>
      <c r="B44" s="37" t="b">
        <f>C44=D44</f>
        <v>1</v>
      </c>
      <c r="C44">
        <v>4</v>
      </c>
      <c r="D44" s="7">
        <f>SUM(pyTestIter(4,1))</f>
        <v>4</v>
      </c>
      <c r="M44" s="5"/>
    </row>
    <row r="45" spans="1:13" x14ac:dyDescent="0.3">
      <c r="M45" s="5"/>
    </row>
    <row r="46" spans="1:13" x14ac:dyDescent="0.3">
      <c r="A46" s="2" t="s">
        <v>39</v>
      </c>
      <c r="B46" s="37" t="b">
        <f>C46=D46</f>
        <v>1</v>
      </c>
      <c r="C46" t="s">
        <v>72</v>
      </c>
      <c r="D46" t="str">
        <f>pyTestCom()</f>
        <v>{90160000-000F-0000-1000-0000000FF1CE}</v>
      </c>
      <c r="M46" s="5"/>
    </row>
    <row r="47" spans="1:13" x14ac:dyDescent="0.3">
      <c r="A47" s="2"/>
      <c r="M47" s="5"/>
    </row>
    <row r="48" spans="1:13" x14ac:dyDescent="0.3">
      <c r="A48" s="2" t="s">
        <v>40</v>
      </c>
      <c r="B48" s="37" t="b">
        <f ca="1">C48=SUBSTITUTE(D48, "'","")</f>
        <v>1</v>
      </c>
      <c r="C48" s="4" t="str">
        <f ca="1">MID(CELL("filename"),FIND("[",CELL("filename")),100)&amp;"!"&amp;ADDRESS(ROW(H49),COLUMN(H49),4)</f>
        <v>[PythonTest.xlsm]Test 1!H49</v>
      </c>
      <c r="D48" s="10" t="str">
        <f>pyTestRange(G48:H49)</f>
        <v>'[PythonTest.xlsm]Test 1'!H49</v>
      </c>
      <c r="E48" s="16"/>
      <c r="G48" s="18">
        <v>1</v>
      </c>
      <c r="H48" s="18">
        <v>2</v>
      </c>
      <c r="J48" s="5"/>
      <c r="M48" s="5"/>
    </row>
    <row r="49" spans="1:13" x14ac:dyDescent="0.3">
      <c r="A49" s="2"/>
      <c r="G49" s="18">
        <v>3</v>
      </c>
      <c r="H49" s="18">
        <v>4</v>
      </c>
      <c r="J49" s="5"/>
      <c r="M49" s="5"/>
    </row>
    <row r="50" spans="1:13" x14ac:dyDescent="0.3">
      <c r="A50" s="2"/>
      <c r="J50" s="5"/>
      <c r="M50" s="5"/>
    </row>
    <row r="51" spans="1:13" x14ac:dyDescent="0.3">
      <c r="A51" s="2" t="s">
        <v>31</v>
      </c>
      <c r="B51" t="b">
        <f>C51=D51</f>
        <v>1</v>
      </c>
      <c r="C51">
        <v>2</v>
      </c>
      <c r="D51" s="7">
        <f>pyTestCustomConv(1)</f>
        <v>2</v>
      </c>
      <c r="J51" s="5"/>
      <c r="M51" s="5"/>
    </row>
    <row r="52" spans="1:13" x14ac:dyDescent="0.3">
      <c r="A52" s="2"/>
      <c r="B52" t="b">
        <f>C52=D52</f>
        <v>1</v>
      </c>
      <c r="C52">
        <f>2*SUM(G52:H52)</f>
        <v>14</v>
      </c>
      <c r="D52" s="7">
        <f>SUM(pyTestCustomConv(G52:H52))</f>
        <v>14</v>
      </c>
      <c r="G52" s="18">
        <v>3</v>
      </c>
      <c r="H52" s="18">
        <v>4</v>
      </c>
      <c r="J52" s="5"/>
    </row>
    <row r="53" spans="1:13" x14ac:dyDescent="0.3">
      <c r="B53" s="37" t="b">
        <f>AND(B51:B52)</f>
        <v>1</v>
      </c>
      <c r="J53" s="5"/>
    </row>
    <row r="54" spans="1:13" x14ac:dyDescent="0.3">
      <c r="A54" s="2"/>
      <c r="J54" s="5"/>
    </row>
    <row r="55" spans="1:13" x14ac:dyDescent="0.3">
      <c r="A55" s="2" t="s">
        <v>33</v>
      </c>
      <c r="B55" t="b">
        <f>C55=D55</f>
        <v>1</v>
      </c>
      <c r="C55">
        <f>H56</f>
        <v>2</v>
      </c>
      <c r="D55" s="7">
        <f>pyTestFrameFetch(J55,,"B")</f>
        <v>2</v>
      </c>
      <c r="G55" s="19" t="s">
        <v>32</v>
      </c>
      <c r="H55" s="19" t="s">
        <v>29</v>
      </c>
      <c r="I55" s="19" t="s">
        <v>30</v>
      </c>
      <c r="J55" s="20" t="str">
        <f>pyTestDFrame(G55:I56)</f>
        <v>欣[PythonTest.xlsm]Test 1!R55C10DataFrame,A</v>
      </c>
    </row>
    <row r="56" spans="1:13" x14ac:dyDescent="0.3">
      <c r="A56" s="2"/>
      <c r="G56" s="19">
        <v>1</v>
      </c>
      <c r="H56" s="19">
        <v>2</v>
      </c>
      <c r="I56" s="19">
        <v>3</v>
      </c>
      <c r="J56" s="5"/>
    </row>
    <row r="57" spans="1:13" x14ac:dyDescent="0.3">
      <c r="A57" s="2"/>
      <c r="J57" s="5"/>
    </row>
    <row r="58" spans="1:13" x14ac:dyDescent="0.3">
      <c r="A58" s="2" t="s">
        <v>34</v>
      </c>
      <c r="B58" t="b">
        <f>C58=D58</f>
        <v>1</v>
      </c>
      <c r="C58" t="str">
        <f>I59</f>
        <v>Foo</v>
      </c>
      <c r="D58" s="7" t="str">
        <f>pyTestFrameFetch(J58,0,"B")</f>
        <v>Foo</v>
      </c>
      <c r="G58" s="18" t="s">
        <v>35</v>
      </c>
      <c r="H58" s="18" t="s">
        <v>32</v>
      </c>
      <c r="I58" s="18" t="s">
        <v>29</v>
      </c>
      <c r="J58" s="20" t="str">
        <f>pyTestDFrameIndex(G58:I60)</f>
        <v>欣[PythonTest.xlsm]Test 1!R58C10,A</v>
      </c>
    </row>
    <row r="59" spans="1:13" x14ac:dyDescent="0.3">
      <c r="A59" s="2"/>
      <c r="B59" t="b">
        <f>C59=D59</f>
        <v>1</v>
      </c>
      <c r="C59">
        <f>H60</f>
        <v>2.1</v>
      </c>
      <c r="D59" s="7">
        <f t="array" ref="D59:D60">pyTestFrameFetch(J58,1)</f>
        <v>2.1</v>
      </c>
      <c r="G59" s="18">
        <v>0</v>
      </c>
      <c r="H59" s="18">
        <v>5.3</v>
      </c>
      <c r="I59" s="18" t="s">
        <v>17</v>
      </c>
      <c r="J59" s="5"/>
    </row>
    <row r="60" spans="1:13" x14ac:dyDescent="0.3">
      <c r="A60" s="2"/>
      <c r="B60" t="b">
        <f>C60=D60</f>
        <v>1</v>
      </c>
      <c r="C60" t="str">
        <f>I60</f>
        <v>Bar</v>
      </c>
      <c r="D60" s="7" t="str">
        <v>Bar</v>
      </c>
      <c r="G60" s="18">
        <v>1</v>
      </c>
      <c r="H60" s="18">
        <v>2.1</v>
      </c>
      <c r="I60" s="18" t="s">
        <v>18</v>
      </c>
      <c r="J60" s="5"/>
    </row>
    <row r="61" spans="1:13" x14ac:dyDescent="0.3">
      <c r="A61" s="2"/>
    </row>
    <row r="62" spans="1:13" x14ac:dyDescent="0.3">
      <c r="A62" s="2" t="s">
        <v>55</v>
      </c>
      <c r="B62" t="b">
        <f t="array" ref="B62">SUM((D62:F64=G58:I60)+0)=9</f>
        <v>1</v>
      </c>
      <c r="D62" s="7" t="str">
        <f t="array" ref="D62:F64">pyTestFrameFetch(J58)</f>
        <v>Time</v>
      </c>
      <c r="E62" s="7" t="str">
        <v>A</v>
      </c>
      <c r="F62" s="27" t="str">
        <v>B</v>
      </c>
    </row>
    <row r="63" spans="1:13" x14ac:dyDescent="0.3">
      <c r="D63" s="7">
        <v>0</v>
      </c>
      <c r="E63" s="7">
        <v>5.3</v>
      </c>
      <c r="F63" s="27" t="str">
        <v>Foo</v>
      </c>
    </row>
    <row r="64" spans="1:13" x14ac:dyDescent="0.3">
      <c r="D64" s="7">
        <v>1</v>
      </c>
      <c r="E64" s="7">
        <v>2.1</v>
      </c>
      <c r="F64" s="27" t="str">
        <v>Bar</v>
      </c>
    </row>
    <row r="65" spans="1:7" x14ac:dyDescent="0.3">
      <c r="E65"/>
      <c r="F65"/>
    </row>
    <row r="66" spans="1:7" x14ac:dyDescent="0.3">
      <c r="B66" t="b">
        <f t="array" ref="B66">SUM((D66:F67=G58:I59)+0)=6</f>
        <v>1</v>
      </c>
      <c r="D66" s="7" t="str">
        <f t="array" ref="D66:F67">pyTestFrameWrite(J58)</f>
        <v>Time</v>
      </c>
      <c r="E66" s="7" t="str">
        <v>A</v>
      </c>
      <c r="F66" s="27" t="str">
        <v>B</v>
      </c>
    </row>
    <row r="67" spans="1:7" x14ac:dyDescent="0.3">
      <c r="D67" s="7">
        <v>0</v>
      </c>
      <c r="E67" s="7">
        <v>5.3</v>
      </c>
      <c r="F67" s="7" t="str">
        <v>Foo</v>
      </c>
    </row>
    <row r="68" spans="1:7" x14ac:dyDescent="0.3">
      <c r="B68" s="37" t="b">
        <f>AND(B55:B67)</f>
        <v>1</v>
      </c>
    </row>
    <row r="70" spans="1:7" x14ac:dyDescent="0.3">
      <c r="A70" s="2" t="s">
        <v>36</v>
      </c>
      <c r="B70" t="b">
        <f>C70=D70</f>
        <v>1</v>
      </c>
      <c r="C70" s="3">
        <f>G70+1</f>
        <v>42737</v>
      </c>
      <c r="D70" s="8">
        <f>pyTestDate(G70)</f>
        <v>42737</v>
      </c>
      <c r="E70" s="14"/>
      <c r="G70" s="21">
        <v>42736</v>
      </c>
    </row>
    <row r="71" spans="1:7" x14ac:dyDescent="0.3">
      <c r="B71" t="b">
        <f>D71=C71</f>
        <v>1</v>
      </c>
      <c r="C71" s="3">
        <v>42768</v>
      </c>
      <c r="D71" s="8">
        <f>pyTestDate(G71)</f>
        <v>42768</v>
      </c>
      <c r="E71" s="14"/>
      <c r="G71" s="22" t="s">
        <v>37</v>
      </c>
    </row>
    <row r="72" spans="1:7" x14ac:dyDescent="0.3">
      <c r="B72" s="37" t="b">
        <f>AND(B70:B71)</f>
        <v>1</v>
      </c>
    </row>
    <row r="74" spans="1:7" x14ac:dyDescent="0.3">
      <c r="A74" s="2" t="s">
        <v>47</v>
      </c>
      <c r="B74" s="37" t="e">
        <f ca="1">E80&lt;&gt;F80</f>
        <v>#VALUE!</v>
      </c>
      <c r="C74" s="12"/>
      <c r="D74" t="s">
        <v>48</v>
      </c>
      <c r="E74" s="5">
        <v>3</v>
      </c>
      <c r="F74" s="5">
        <v>1</v>
      </c>
      <c r="G74" s="5">
        <v>4</v>
      </c>
    </row>
    <row r="75" spans="1:7" x14ac:dyDescent="0.3">
      <c r="A75" t="s">
        <v>54</v>
      </c>
      <c r="C75" s="12"/>
      <c r="D75" t="s">
        <v>49</v>
      </c>
      <c r="E75" s="5">
        <v>3</v>
      </c>
      <c r="F75" s="5">
        <v>2</v>
      </c>
      <c r="G75" s="5">
        <v>7</v>
      </c>
    </row>
    <row r="76" spans="1:7" x14ac:dyDescent="0.3">
      <c r="C76" s="12"/>
      <c r="D76" t="s">
        <v>50</v>
      </c>
      <c r="E76" s="5">
        <v>500</v>
      </c>
      <c r="F76" s="5">
        <f>E76</f>
        <v>500</v>
      </c>
      <c r="G76" s="5">
        <f>E76</f>
        <v>500</v>
      </c>
    </row>
    <row r="77" spans="1:7" x14ac:dyDescent="0.3">
      <c r="C77" s="12"/>
      <c r="D77" t="s">
        <v>51</v>
      </c>
      <c r="E77" s="5">
        <f>E76</f>
        <v>500</v>
      </c>
      <c r="F77" s="5">
        <f>E77</f>
        <v>500</v>
      </c>
      <c r="G77" s="5">
        <f>E77</f>
        <v>500</v>
      </c>
    </row>
    <row r="78" spans="1:7" x14ac:dyDescent="0.3">
      <c r="C78" s="12"/>
      <c r="D78" t="s">
        <v>52</v>
      </c>
      <c r="E78" s="5">
        <f>E77</f>
        <v>500</v>
      </c>
      <c r="F78" s="5">
        <f>E78</f>
        <v>500</v>
      </c>
      <c r="G78" s="5">
        <f>E78</f>
        <v>500</v>
      </c>
    </row>
    <row r="79" spans="1:7" x14ac:dyDescent="0.3">
      <c r="C79" s="12"/>
      <c r="D79" t="s">
        <v>53</v>
      </c>
      <c r="E79" s="5">
        <f>E78</f>
        <v>500</v>
      </c>
      <c r="F79" s="5">
        <f>E79</f>
        <v>500</v>
      </c>
      <c r="G79" s="5">
        <f>E79</f>
        <v>500</v>
      </c>
    </row>
    <row r="80" spans="1:7" x14ac:dyDescent="0.3">
      <c r="E80" s="7" t="e">
        <f ca="1">_xll.pyThreadTest(E74,E75,E76,E77,E78,E79)</f>
        <v>#VALUE!</v>
      </c>
      <c r="F80" s="7" t="e">
        <f ca="1">_xll.pyThreadTest(F74,F75,F76,F77,F78,F79)</f>
        <v>#VALUE!</v>
      </c>
      <c r="G80" s="7" t="e">
        <f ca="1">_xll.pyThreadTest(G74,G75,G76,G77,G78,G79)</f>
        <v>#VALUE!</v>
      </c>
    </row>
    <row r="83" spans="1:8" x14ac:dyDescent="0.3">
      <c r="A83" s="2" t="s">
        <v>56</v>
      </c>
      <c r="B83" s="37" t="e">
        <f ca="1">C83=D85</f>
        <v>#VALUE!</v>
      </c>
      <c r="C83" t="s">
        <v>57</v>
      </c>
      <c r="D83" t="str">
        <f>pyWbPath()</f>
        <v>C:\Users\Steven\dev\xloil\tests\TestSheets</v>
      </c>
    </row>
    <row r="84" spans="1:8" x14ac:dyDescent="0.3">
      <c r="A84" t="s">
        <v>58</v>
      </c>
      <c r="D84" t="e">
        <f ca="1">_xll.xloPyLoad(D83&amp;"\TestModule.py")</f>
        <v>#VALUE!</v>
      </c>
    </row>
    <row r="85" spans="1:8" x14ac:dyDescent="0.3">
      <c r="D85" s="7" t="e">
        <f ca="1">_xll.pyTestLoadMod()</f>
        <v>#VALUE!</v>
      </c>
    </row>
    <row r="87" spans="1:8" x14ac:dyDescent="0.3">
      <c r="A87" s="2" t="s">
        <v>59</v>
      </c>
      <c r="B87" s="37" t="b">
        <f>AND(D87=F87+1, D88=G87+1, D89=H87+1,D90=F88+1,D91=G88+1)</f>
        <v>1</v>
      </c>
      <c r="D87" s="27">
        <f t="array" ref="D87:D91">pyTestDateConv(F87:H88)</f>
        <v>43001</v>
      </c>
      <c r="F87" s="30">
        <v>43000</v>
      </c>
      <c r="G87" s="30">
        <v>44000</v>
      </c>
      <c r="H87" s="30">
        <v>45000.66</v>
      </c>
    </row>
    <row r="88" spans="1:8" x14ac:dyDescent="0.3">
      <c r="D88" s="7">
        <v>44001</v>
      </c>
      <c r="F88" s="30">
        <f>G87</f>
        <v>44000</v>
      </c>
      <c r="G88" s="30">
        <v>37000</v>
      </c>
      <c r="H88" s="30">
        <f>H87</f>
        <v>45000.66</v>
      </c>
    </row>
    <row r="89" spans="1:8" x14ac:dyDescent="0.3">
      <c r="D89" s="7">
        <v>45001.66</v>
      </c>
    </row>
    <row r="90" spans="1:8" x14ac:dyDescent="0.3">
      <c r="D90" s="7">
        <v>44001</v>
      </c>
    </row>
    <row r="91" spans="1:8" x14ac:dyDescent="0.3">
      <c r="C91" s="28"/>
      <c r="D91" s="31">
        <v>37001</v>
      </c>
      <c r="E91" s="29"/>
    </row>
    <row r="92" spans="1:8" x14ac:dyDescent="0.3">
      <c r="C92" s="28"/>
      <c r="D92" s="28"/>
      <c r="E92" s="29"/>
    </row>
    <row r="93" spans="1:8" x14ac:dyDescent="0.3">
      <c r="A93" s="2" t="s">
        <v>61</v>
      </c>
      <c r="B93" s="37" t="b">
        <f>C93:C94=D93:D94</f>
        <v>1</v>
      </c>
      <c r="C93" s="28">
        <v>0</v>
      </c>
      <c r="D93" s="31">
        <f>pyTestDynamic0()</f>
        <v>0</v>
      </c>
      <c r="E93" s="29"/>
    </row>
    <row r="94" spans="1:8" x14ac:dyDescent="0.3">
      <c r="C94" s="28">
        <v>2</v>
      </c>
      <c r="D94" s="31">
        <f>pyTestDynamic2()</f>
        <v>2</v>
      </c>
      <c r="E94" s="29"/>
    </row>
    <row r="95" spans="1:8" x14ac:dyDescent="0.3">
      <c r="C95" s="28"/>
      <c r="D95" s="28"/>
      <c r="E95" s="29"/>
    </row>
    <row r="96" spans="1:8" x14ac:dyDescent="0.3">
      <c r="A96" s="2" t="s">
        <v>62</v>
      </c>
      <c r="B96" s="37" t="b">
        <f>C96=D96</f>
        <v>1</v>
      </c>
      <c r="C96" t="str">
        <f>pyTestWorkbooks()</f>
        <v>PythonTest.xlsm</v>
      </c>
      <c r="D96" s="7" t="str">
        <f>pyTestWorkbooks()</f>
        <v>PythonTest.xlsm</v>
      </c>
    </row>
    <row r="98" spans="1:4" x14ac:dyDescent="0.3">
      <c r="A98" s="2" t="s">
        <v>65</v>
      </c>
      <c r="B98" s="37" t="b">
        <f>C98=D98</f>
        <v>1</v>
      </c>
      <c r="C98">
        <v>6</v>
      </c>
      <c r="D98" s="27">
        <f>pyTestExcelCall("sum",1,2,3)</f>
        <v>6</v>
      </c>
    </row>
    <row r="101" spans="1:4" x14ac:dyDescent="0.3">
      <c r="A101" s="2" t="s">
        <v>66</v>
      </c>
      <c r="B101" t="b">
        <f ca="1">C101=D101</f>
        <v>1</v>
      </c>
      <c r="C101" t="str">
        <f ca="1">"="&amp;SUBSTITUTE(CELL("address",C98)&amp;"="&amp;CELL("address",D98),"$","")</f>
        <v>=C98=D98</v>
      </c>
      <c r="D101" s="27" t="str">
        <f>pyTestExcelCall("getcell",6,Test_ExcelCall)</f>
        <v>=C98=D98</v>
      </c>
    </row>
    <row r="102" spans="1:4" x14ac:dyDescent="0.3">
      <c r="B102" t="e">
        <f ca="1">C102=D102</f>
        <v>#VALUE!</v>
      </c>
      <c r="C102" t="str">
        <f ca="1">C101</f>
        <v>=C98=D98</v>
      </c>
      <c r="D102" s="27" t="e">
        <f ca="1">_xll.pyTestRangeFormula2(Test_ExcelCall)</f>
        <v>#VALUE!</v>
      </c>
    </row>
    <row r="103" spans="1:4" x14ac:dyDescent="0.3">
      <c r="B103" t="b">
        <f ca="1">C103=D103</f>
        <v>1</v>
      </c>
      <c r="C103" t="str">
        <f ca="1">C102</f>
        <v>=C98=D98</v>
      </c>
      <c r="D103" s="27" t="str">
        <f>pyTestRangeFormula(Test_ExcelCall)</f>
        <v>=C98=D98</v>
      </c>
    </row>
    <row r="104" spans="1:4" x14ac:dyDescent="0.3">
      <c r="B104" s="37" t="e">
        <f ca="1">AND(B101:B103)</f>
        <v>#VALUE!</v>
      </c>
    </row>
    <row r="106" spans="1:4" x14ac:dyDescent="0.3">
      <c r="A106" s="2" t="s">
        <v>67</v>
      </c>
      <c r="B106" t="b">
        <f>C106=D106</f>
        <v>1</v>
      </c>
      <c r="C106" t="str">
        <f>C96</f>
        <v>PythonTest.xlsm</v>
      </c>
      <c r="D106" s="27" t="str">
        <f>pyTestAppRun("pyTestWorkbooks")</f>
        <v>PythonTest.xlsm</v>
      </c>
    </row>
    <row r="107" spans="1:4" x14ac:dyDescent="0.3">
      <c r="B107" t="b">
        <f>C107=D107</f>
        <v>1</v>
      </c>
      <c r="C107">
        <v>6</v>
      </c>
      <c r="D107" s="27">
        <f>pyTestAppRun("pySum",1,2,3)</f>
        <v>6</v>
      </c>
    </row>
    <row r="108" spans="1:4" x14ac:dyDescent="0.3">
      <c r="B108" t="b">
        <f ca="1">C108=SUBSTITUTE(D108, "'","")</f>
        <v>1</v>
      </c>
      <c r="C108" t="str">
        <f ca="1">MID(CELL("filename"),FIND("[",CELL("filename")),100)&amp;"!"&amp;ADDRESS(ROW(E107),COLUMN(E107),4)</f>
        <v>[PythonTest.xlsm]Test 1!E107</v>
      </c>
      <c r="D108" s="27" t="str">
        <f>pyTestAppRun("pyTestRange", D106)</f>
        <v>'[PythonTest.xlsm]Test 1'!E107</v>
      </c>
    </row>
    <row r="109" spans="1:4" x14ac:dyDescent="0.3">
      <c r="B109" s="37" t="b">
        <f ca="1">AND(B106:B108)</f>
        <v>1</v>
      </c>
    </row>
  </sheetData>
  <conditionalFormatting sqref="B8:B11 B14:B19 B21:B23 B27:B28 B25 B30:B32 B34:B36 B39:B40 B54:B59 B43:B52 B82 B73 B75:B80 B84:B86 B88:B92 B94:B95 B97">
    <cfRule type="expression" dxfId="22" priority="24">
      <formula>IFERROR(NOT(OR(ISBLANK(B8),B8)),TRUE)</formula>
    </cfRule>
  </conditionalFormatting>
  <conditionalFormatting sqref="B3">
    <cfRule type="expression" dxfId="21" priority="20">
      <formula>IFERROR(NOT(OR(ISBLANK(B3),B3)),TRUE)</formula>
    </cfRule>
  </conditionalFormatting>
  <conditionalFormatting sqref="B4:B6">
    <cfRule type="expression" dxfId="20" priority="19">
      <formula>IFERROR(NOT(OR(ISBLANK(B4),B4)),TRUE)</formula>
    </cfRule>
  </conditionalFormatting>
  <conditionalFormatting sqref="B60:B67 B69:B71">
    <cfRule type="expression" dxfId="19" priority="18">
      <formula>IFERROR(NOT(OR(ISBLANK(B60),B60)),TRUE)</formula>
    </cfRule>
  </conditionalFormatting>
  <conditionalFormatting sqref="B101:B103">
    <cfRule type="expression" dxfId="18" priority="17">
      <formula>IFERROR(NOT(OR(ISBLANK(B101),B101)),TRUE)</formula>
    </cfRule>
  </conditionalFormatting>
  <conditionalFormatting sqref="B106:B107">
    <cfRule type="expression" dxfId="17" priority="16">
      <formula>IFERROR(NOT(OR(ISBLANK(B106),B106)),TRUE)</formula>
    </cfRule>
  </conditionalFormatting>
  <conditionalFormatting sqref="B108">
    <cfRule type="expression" dxfId="16" priority="13">
      <formula>IFERROR(NOT(OR(ISBLANK(B108),B108)),TRUE)</formula>
    </cfRule>
  </conditionalFormatting>
  <conditionalFormatting sqref="B53">
    <cfRule type="expression" dxfId="15" priority="12">
      <formula>IFERROR(NOT(OR(ISBLANK(B53),B53)),TRUE)</formula>
    </cfRule>
  </conditionalFormatting>
  <conditionalFormatting sqref="B68">
    <cfRule type="expression" dxfId="14" priority="11">
      <formula>IFERROR(NOT(OR(ISBLANK(B68),B68)),TRUE)</formula>
    </cfRule>
  </conditionalFormatting>
  <conditionalFormatting sqref="B72">
    <cfRule type="expression" dxfId="13" priority="10">
      <formula>IFERROR(NOT(OR(ISBLANK(B72),B72)),TRUE)</formula>
    </cfRule>
  </conditionalFormatting>
  <conditionalFormatting sqref="B74">
    <cfRule type="expression" dxfId="12" priority="9">
      <formula>IFERROR(NOT(OR(ISBLANK(B74),B74)),TRUE)</formula>
    </cfRule>
  </conditionalFormatting>
  <conditionalFormatting sqref="B83">
    <cfRule type="expression" dxfId="11" priority="8">
      <formula>IFERROR(NOT(OR(ISBLANK(B83),B83)),TRUE)</formula>
    </cfRule>
  </conditionalFormatting>
  <conditionalFormatting sqref="B87">
    <cfRule type="expression" dxfId="10" priority="7">
      <formula>IFERROR(NOT(OR(ISBLANK(B87),B87)),TRUE)</formula>
    </cfRule>
  </conditionalFormatting>
  <conditionalFormatting sqref="B93">
    <cfRule type="expression" dxfId="9" priority="6">
      <formula>IFERROR(NOT(OR(ISBLANK(B93),B93)),TRUE)</formula>
    </cfRule>
  </conditionalFormatting>
  <conditionalFormatting sqref="B96">
    <cfRule type="expression" dxfId="8" priority="5">
      <formula>IFERROR(NOT(OR(ISBLANK(B96),B96)),TRUE)</formula>
    </cfRule>
  </conditionalFormatting>
  <conditionalFormatting sqref="B98">
    <cfRule type="expression" dxfId="7" priority="4">
      <formula>IFERROR(NOT(OR(ISBLANK(B98),B98)),TRUE)</formula>
    </cfRule>
  </conditionalFormatting>
  <conditionalFormatting sqref="B104">
    <cfRule type="expression" dxfId="6" priority="3">
      <formula>IFERROR(NOT(OR(ISBLANK(B104),B104)),TRUE)</formula>
    </cfRule>
  </conditionalFormatting>
  <conditionalFormatting sqref="B109">
    <cfRule type="expression" dxfId="5" priority="1">
      <formula>IFERROR(NOT(OR(ISBLANK(B109),B109)),TRUE)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38F86-C00C-4DA9-94A5-1B12D8E6AC35}">
  <sheetPr codeName="Sheet4"/>
  <dimension ref="A1:I24"/>
  <sheetViews>
    <sheetView showGridLines="0" workbookViewId="0">
      <selection activeCell="C26" sqref="C26"/>
    </sheetView>
  </sheetViews>
  <sheetFormatPr defaultRowHeight="14.4" x14ac:dyDescent="0.3"/>
  <cols>
    <col min="1" max="1" width="26" customWidth="1"/>
    <col min="2" max="2" width="8.6640625" customWidth="1"/>
    <col min="3" max="3" width="37.6640625" customWidth="1"/>
    <col min="4" max="4" width="34" customWidth="1"/>
  </cols>
  <sheetData>
    <row r="1" spans="1:9" x14ac:dyDescent="0.3">
      <c r="A1" t="s">
        <v>79</v>
      </c>
      <c r="C1" s="4" t="s">
        <v>75</v>
      </c>
      <c r="D1" s="34" t="e">
        <f>pyTestAsyncGen(2)</f>
        <v>#N/A</v>
      </c>
    </row>
    <row r="3" spans="1:9" x14ac:dyDescent="0.3">
      <c r="B3" t="e">
        <f>AND(B5:B21)</f>
        <v>#N/A</v>
      </c>
    </row>
    <row r="4" spans="1:9" x14ac:dyDescent="0.3">
      <c r="A4" s="1" t="s">
        <v>38</v>
      </c>
      <c r="B4" s="1" t="s">
        <v>2</v>
      </c>
      <c r="C4" s="1" t="s">
        <v>13</v>
      </c>
      <c r="D4" s="1" t="s">
        <v>14</v>
      </c>
      <c r="E4" s="13"/>
      <c r="F4" s="5"/>
      <c r="G4" s="11" t="s">
        <v>16</v>
      </c>
    </row>
    <row r="5" spans="1:9" x14ac:dyDescent="0.3">
      <c r="A5" s="2" t="s">
        <v>74</v>
      </c>
      <c r="B5" t="b">
        <f>C5=SUBSTITUTE(D5, "'","")</f>
        <v>0</v>
      </c>
      <c r="C5" s="4" t="str">
        <f>"[PythonTest.xlsm]RTD!R"&amp;ROW(D5)&amp;"C"&amp;COLUMN(D5)</f>
        <v>[PythonTest.xlsm]RTD!R5C4</v>
      </c>
      <c r="D5" s="7" t="str">
        <f>pyTestCaller()</f>
        <v>Local funcId 2659255897984 not found</v>
      </c>
    </row>
    <row r="6" spans="1:9" x14ac:dyDescent="0.3">
      <c r="B6" t="e">
        <f>C6=SUBSTITUTE(D6, "'","")</f>
        <v>#N/A</v>
      </c>
      <c r="C6" s="4" t="str">
        <f>"[PythonTest.xlsm]RTD!R"&amp;ROW(D6)&amp;"C"&amp;COLUMN(D6)</f>
        <v>[PythonTest.xlsm]RTD!R6C4</v>
      </c>
      <c r="D6" s="7" t="e">
        <f>pyTestCaller()</f>
        <v>#N/A</v>
      </c>
    </row>
    <row r="7" spans="1:9" x14ac:dyDescent="0.3">
      <c r="A7" s="5"/>
    </row>
    <row r="8" spans="1:9" x14ac:dyDescent="0.3">
      <c r="A8" s="2" t="s">
        <v>73</v>
      </c>
      <c r="B8" t="e">
        <f>C8=D8</f>
        <v>#N/A</v>
      </c>
      <c r="C8">
        <v>6</v>
      </c>
      <c r="D8" s="27" t="e">
        <f>pyTestExcelCallAsync(1,2,3)</f>
        <v>#N/A</v>
      </c>
    </row>
    <row r="10" spans="1:9" x14ac:dyDescent="0.3">
      <c r="A10" s="2" t="s">
        <v>70</v>
      </c>
      <c r="B10" t="b">
        <f>C10=D10</f>
        <v>1</v>
      </c>
      <c r="C10">
        <v>6</v>
      </c>
      <c r="D10" s="9">
        <f>pyRtdArray(G10:I10)</f>
        <v>6</v>
      </c>
      <c r="E10" s="12"/>
      <c r="G10" s="47">
        <v>1</v>
      </c>
      <c r="H10" s="47">
        <v>2</v>
      </c>
      <c r="I10" s="47">
        <v>3</v>
      </c>
    </row>
    <row r="11" spans="1:9" x14ac:dyDescent="0.3">
      <c r="A11" s="2" t="s">
        <v>71</v>
      </c>
      <c r="B11" t="b">
        <f>NOT(ISNA(D11))</f>
        <v>0</v>
      </c>
      <c r="D11" s="9" t="e">
        <f>pyTestRtdManual(2)</f>
        <v>#N/A</v>
      </c>
      <c r="E11" s="12"/>
      <c r="F11" s="5"/>
      <c r="G11" s="5"/>
      <c r="H11" s="5"/>
    </row>
    <row r="14" spans="1:9" x14ac:dyDescent="0.3">
      <c r="A14" s="2" t="s">
        <v>44</v>
      </c>
      <c r="C14" s="23" t="e">
        <f ca="1">_xll.pyGetUrl(D14)</f>
        <v>#VALUE!</v>
      </c>
      <c r="D14" t="s">
        <v>42</v>
      </c>
    </row>
    <row r="15" spans="1:9" x14ac:dyDescent="0.3">
      <c r="A15" s="5"/>
      <c r="C15" s="23" t="e">
        <f ca="1">_xll.pyGetUrl(D15)</f>
        <v>#VALUE!</v>
      </c>
      <c r="D15" t="s">
        <v>43</v>
      </c>
    </row>
    <row r="16" spans="1:9" x14ac:dyDescent="0.3">
      <c r="A16" s="2" t="s">
        <v>46</v>
      </c>
      <c r="C16" s="23" t="e">
        <f ca="1">_xll.pyGetUrlLive(D16)</f>
        <v>#NAME?</v>
      </c>
      <c r="D16" s="26" t="s">
        <v>45</v>
      </c>
    </row>
    <row r="22" spans="5:9" x14ac:dyDescent="0.3">
      <c r="E22" s="12"/>
      <c r="F22" s="5"/>
      <c r="G22" s="5"/>
      <c r="H22" s="5"/>
      <c r="I22" s="5"/>
    </row>
    <row r="23" spans="5:9" x14ac:dyDescent="0.3">
      <c r="E23" s="12"/>
      <c r="F23" s="5"/>
      <c r="G23" s="5"/>
      <c r="H23" s="5"/>
      <c r="I23" s="5"/>
    </row>
    <row r="24" spans="5:9" x14ac:dyDescent="0.3">
      <c r="E24" s="12"/>
      <c r="F24" s="5"/>
      <c r="G24" s="5"/>
      <c r="H24" s="5"/>
      <c r="I24" s="5"/>
    </row>
  </sheetData>
  <conditionalFormatting sqref="B8">
    <cfRule type="expression" dxfId="4" priority="5">
      <formula>IFERROR(NOT(OR(ISBLANK(B8),B8)),TRUE)</formula>
    </cfRule>
  </conditionalFormatting>
  <conditionalFormatting sqref="B5">
    <cfRule type="expression" dxfId="3" priority="4">
      <formula>IFERROR(NOT(OR(ISBLANK(B5),B5)),TRUE)</formula>
    </cfRule>
  </conditionalFormatting>
  <conditionalFormatting sqref="B6">
    <cfRule type="expression" dxfId="2" priority="3">
      <formula>IFERROR(NOT(OR(ISBLANK(B6),B6)),TRUE)</formula>
    </cfRule>
  </conditionalFormatting>
  <conditionalFormatting sqref="B14:B16">
    <cfRule type="expression" dxfId="1" priority="2">
      <formula>IFERROR(NOT(OR(ISBLANK(B14),B14)),TRUE)</formula>
    </cfRule>
  </conditionalFormatting>
  <conditionalFormatting sqref="B10:B11">
    <cfRule type="expression" dxfId="0" priority="1">
      <formula>IFERROR(NOT(OR(ISBLANK(B10),B10)),TRUE)</formula>
    </cfRule>
  </conditionalFormatting>
  <hyperlinks>
    <hyperlink ref="D16" r:id="rId1" xr:uid="{A15C8238-108A-441A-953F-6F26ED6EC33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B27" sqref="B27"/>
    </sheetView>
  </sheetViews>
  <sheetFormatPr defaultRowHeight="14.4" x14ac:dyDescent="0.3"/>
  <sheetData>
    <row r="1" spans="1:2" x14ac:dyDescent="0.3">
      <c r="A1" t="s">
        <v>78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Test 1</vt:lpstr>
      <vt:lpstr>RTD</vt:lpstr>
      <vt:lpstr>{Settings}</vt:lpstr>
      <vt:lpstr>Settings_Wait</vt:lpstr>
      <vt:lpstr>Test_AppRun</vt:lpstr>
      <vt:lpstr>Test_Array1d</vt:lpstr>
      <vt:lpstr>Test_Array2d</vt:lpstr>
      <vt:lpstr>Test_Async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2022-06-17T21:11:00Z</dcterms:modified>
</cp:coreProperties>
</file>