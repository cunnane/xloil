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03BD24CF-A074-4CAA-BDD1-04E632E7EE0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1'!$B$106</definedName>
    <definedName name="Test_Array1d">'Test 1'!$B$24</definedName>
    <definedName name="Test_Array2d">'Test 1'!$B$30</definedName>
    <definedName name="Test_Cache">'Test 1'!$B$38</definedName>
    <definedName name="Test_ComBasic">'Test 1'!$B$43</definedName>
    <definedName name="Test_CustomConverter">'Test 1'!$B$50</definedName>
    <definedName name="Test_Dataframe">'Test 1'!$B$65</definedName>
    <definedName name="Test_Date">'Test 1'!$B$69</definedName>
    <definedName name="Test_DateConversion">'Test 1'!$B$84</definedName>
    <definedName name="Test_DynamicRegistration">'Test 1'!$B$90</definedName>
    <definedName name="Test_ExcelCall">'Test 1'!$B$95</definedName>
    <definedName name="Test_ExternalLoad">'Test 1'!$B$80</definedName>
    <definedName name="Test_GetFormula">'Test 1'!$B$101</definedName>
    <definedName name="Test_IteratorReturn">'Test 1'!$B$41</definedName>
    <definedName name="Test_Kwargs">'Test 1'!$B$34</definedName>
    <definedName name="Test_RoundTrip">'Test 1'!$B$20</definedName>
    <definedName name="Test_Sum">'Test 1'!$B$12</definedName>
    <definedName name="Test_Threaded">'Test 1'!$B$71</definedName>
    <definedName name="Test_WorkbooksObject">'Test 1'!$B$93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9" i="1" l="1"/>
  <c r="D19" i="2"/>
  <c r="C19" i="2"/>
  <c r="C20" i="2" s="1"/>
  <c r="C7" i="2"/>
  <c r="C6" i="2"/>
  <c r="C105" i="1"/>
  <c r="C98" i="1"/>
  <c r="D29" i="1"/>
  <c r="D6" i="2"/>
  <c r="D100" i="1"/>
  <c r="D11" i="2"/>
  <c r="D99" i="1"/>
  <c r="D98" i="1"/>
  <c r="D20" i="2"/>
  <c r="D12" i="2"/>
  <c r="D9" i="2"/>
  <c r="D7" i="2"/>
  <c r="D1" i="2"/>
  <c r="B29" i="1" l="1"/>
  <c r="B20" i="2"/>
  <c r="B19" i="2"/>
  <c r="B12" i="2"/>
  <c r="B98" i="1"/>
  <c r="B11" i="2"/>
  <c r="C17" i="2"/>
  <c r="C15" i="2"/>
  <c r="C16" i="2"/>
  <c r="B9" i="2" l="1"/>
  <c r="B4" i="1"/>
  <c r="D105" i="1"/>
  <c r="B7" i="2" l="1"/>
  <c r="B6" i="2"/>
  <c r="C99" i="1"/>
  <c r="C100" i="1" s="1"/>
  <c r="D93" i="1"/>
  <c r="D91" i="1"/>
  <c r="D95" i="1"/>
  <c r="C93" i="1"/>
  <c r="D104" i="1"/>
  <c r="D103" i="1"/>
  <c r="D90" i="1"/>
  <c r="D14" i="1"/>
  <c r="B3" i="2" l="1"/>
  <c r="B5" i="1" s="1"/>
  <c r="B105" i="1"/>
  <c r="C103" i="1"/>
  <c r="B103" i="1" s="1"/>
  <c r="B104" i="1"/>
  <c r="B100" i="1"/>
  <c r="B99" i="1"/>
  <c r="B95" i="1"/>
  <c r="B93" i="1"/>
  <c r="B90" i="1"/>
  <c r="C37" i="1"/>
  <c r="C45" i="1"/>
  <c r="D37" i="1"/>
  <c r="B106" i="1" l="1"/>
  <c r="B101" i="1"/>
  <c r="B37" i="1"/>
  <c r="H85" i="1"/>
  <c r="F85" i="1"/>
  <c r="D84" i="1" a="1"/>
  <c r="D80" i="1"/>
  <c r="D86" i="1" l="1"/>
  <c r="D87" i="1"/>
  <c r="D88" i="1"/>
  <c r="D84" i="1"/>
  <c r="D85" i="1"/>
  <c r="D32" i="1" a="1"/>
  <c r="D81" i="1"/>
  <c r="B84" i="1" l="1"/>
  <c r="D32" i="1"/>
  <c r="E33" i="1"/>
  <c r="B33" i="1" s="1"/>
  <c r="E32" i="1"/>
  <c r="B32" i="1" s="1"/>
  <c r="D33" i="1"/>
  <c r="E74" i="1"/>
  <c r="F74" i="1" s="1"/>
  <c r="G73" i="1"/>
  <c r="F73" i="1"/>
  <c r="B34" i="1" l="1"/>
  <c r="E75" i="1"/>
  <c r="F75" i="1" s="1"/>
  <c r="G74" i="1"/>
  <c r="G75" i="1" l="1"/>
  <c r="E76" i="1"/>
  <c r="D45" i="1"/>
  <c r="B45" i="1" l="1"/>
  <c r="F76" i="1"/>
  <c r="F77" i="1" s="1"/>
  <c r="G76" i="1"/>
  <c r="G77" i="1" s="1"/>
  <c r="C67" i="1"/>
  <c r="E77" i="1"/>
  <c r="D68" i="1"/>
  <c r="D11" i="1"/>
  <c r="B71" i="1" l="1"/>
  <c r="B68" i="1"/>
  <c r="D67" i="1"/>
  <c r="D8" i="1"/>
  <c r="B67" i="1" l="1"/>
  <c r="B69" i="1" s="1"/>
  <c r="C57" i="1"/>
  <c r="C56" i="1"/>
  <c r="C55" i="1"/>
  <c r="C52" i="1"/>
  <c r="C49" i="1"/>
  <c r="C27" i="1"/>
  <c r="C28" i="1" s="1"/>
  <c r="C22" i="1" a="1"/>
  <c r="C22" i="1" s="1"/>
  <c r="C18" i="1"/>
  <c r="C17" i="1"/>
  <c r="C19" i="1" s="1"/>
  <c r="C11" i="1"/>
  <c r="D49" i="1"/>
  <c r="D22" i="1"/>
  <c r="G36" i="1"/>
  <c r="D27" i="1"/>
  <c r="D9" i="1"/>
  <c r="D23" i="1"/>
  <c r="D10" i="1"/>
  <c r="D15" i="1"/>
  <c r="D41" i="1"/>
  <c r="D28" i="1"/>
  <c r="J55" i="1"/>
  <c r="D43" i="1"/>
  <c r="D48" i="1"/>
  <c r="J52" i="1"/>
  <c r="D17" i="1"/>
  <c r="D16" i="1"/>
  <c r="D18" i="1"/>
  <c r="D19" i="1"/>
  <c r="B43" i="1" l="1"/>
  <c r="B11" i="1"/>
  <c r="B41" i="1"/>
  <c r="B27" i="1"/>
  <c r="B10" i="1"/>
  <c r="B17" i="1"/>
  <c r="B48" i="1"/>
  <c r="B14" i="1"/>
  <c r="B15" i="1"/>
  <c r="B8" i="1"/>
  <c r="B18" i="1"/>
  <c r="B9" i="1"/>
  <c r="B16" i="1"/>
  <c r="B23" i="1"/>
  <c r="B49" i="1"/>
  <c r="B22" i="1"/>
  <c r="B19" i="1"/>
  <c r="B28" i="1"/>
  <c r="D36" i="1"/>
  <c r="D59" i="1" a="1"/>
  <c r="D63" i="1" a="1"/>
  <c r="D55" i="1"/>
  <c r="D52" i="1"/>
  <c r="D56" i="1" a="1"/>
  <c r="B50" i="1" l="1"/>
  <c r="B30" i="1"/>
  <c r="B24" i="1"/>
  <c r="B20" i="1"/>
  <c r="B12" i="1"/>
  <c r="F63" i="1"/>
  <c r="E64" i="1"/>
  <c r="F64" i="1"/>
  <c r="E63" i="1"/>
  <c r="D64" i="1"/>
  <c r="D63" i="1"/>
  <c r="F60" i="1"/>
  <c r="D61" i="1"/>
  <c r="D60" i="1"/>
  <c r="D59" i="1"/>
  <c r="F59" i="1"/>
  <c r="E60" i="1"/>
  <c r="F61" i="1"/>
  <c r="E59" i="1"/>
  <c r="E61" i="1"/>
  <c r="B52" i="1"/>
  <c r="D56" i="1"/>
  <c r="B56" i="1" s="1"/>
  <c r="D57" i="1"/>
  <c r="B57" i="1" s="1"/>
  <c r="B55" i="1"/>
  <c r="B36" i="1"/>
  <c r="B38" i="1" s="1"/>
  <c r="B63" i="1" l="1" a="1"/>
  <c r="B63" i="1" s="1"/>
  <c r="B59" i="1" a="1"/>
  <c r="B59" i="1" s="1"/>
  <c r="B65" i="1" l="1"/>
  <c r="D82" i="1" l="1"/>
  <c r="B80" i="1" s="1"/>
  <c r="B3" i="1"/>
  <c r="B3" i="1"/>
</calcChain>
</file>

<file path=xl/sharedStrings.xml><?xml version="1.0" encoding="utf-8"?>
<sst xmlns="http://schemas.openxmlformats.org/spreadsheetml/2006/main" count="95" uniqueCount="81">
  <si>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</si>
  <si>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</si>
  <si>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</si>
  <si>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</si>
  <si>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</si>
  <si>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</si>
  <si>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</si>
  <si>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</si>
  <si>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</si>
  <si>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</si>
  <si>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</si>
  <si>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</si>
  <si>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</si>
  <si>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</si>
  <si>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</si>
  <si>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</si>
  <si>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</si>
  <si>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</si>
  <si>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</si>
  <si>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</si>
  <si>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</si>
  <si>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</si>
  <si>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</si>
  <si>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</si>
  <si>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</si>
  <si>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</si>
  <si>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</si>
  <si>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</si>
  <si>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</si>
  <si>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</si>
  <si>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</si>
  <si>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</si>
  <si>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</si>
  <si>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</si>
  <si>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</si>
  <si>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</si>
  <si>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</si>
  <si>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</si>
  <si>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</si>
  <si>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</si>
  <si>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</si>
  <si>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</si>
  <si>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</si>
  <si>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</si>
  <si>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</si>
  <si>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</si>
  <si>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</si>
  <si>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</si>
  <si>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</si>
  <si>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</si>
  <si>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</si>
  <si>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</si>
  <si>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</si>
  <si>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</si>
  <si>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</si>
  <si>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</si>
  <si>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</si>
  <si>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</si>
  <si>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</si>
  <si>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</si>
  <si>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</si>
  <si>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</si>
  <si>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</si>
  <si>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</si>
  <si>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</si>
  <si>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</si>
  <si>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</si>
  <si>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</si>
  <si>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</si>
  <si>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</si>
  <si>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</si>
  <si>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</si>
  <si>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</si>
  <si>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</si>
  <si>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</si>
  <si>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</si>
  <si>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</si>
  <si>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</si>
  <si>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</si>
  <si>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</si>
  <si>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Calc finished at: 2022-08-28 01:17:13.739325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</si>
</sst>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0be0c78f.4e03.4253.9a13.2a99d58c011a">
      <tp>
        <v>0</v>
        <stp/>
        <stp>{1F411CE4-3ACF-4100-8F1F-AEAE9B20CDEB}</stp>
        <tr r="D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6"/>
  <sheetViews>
    <sheetView showGridLines="0" tabSelected="1" workbookViewId="0">
      <selection activeCell="C3" sqref="C3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77</v>
      </c>
      <c r="B1" s="5"/>
      <c r="C1" s="5"/>
      <c r="D1" s="10"/>
      <c r="F1" s="19"/>
      <c r="G1" t="s">
        <v>69</v>
      </c>
      <c r="H1" t="s">
        <v>68</v>
      </c>
      <c r="I1" t="s">
        <v>68</v>
      </c>
      <c r="J1" t="s">
        <v>68</v>
      </c>
      <c r="K1" s="22" t="s">
        <v>68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63</v>
      </c>
      <c r="B3" s="18" t="e">
        <f ca="1">AND(B8:B198)</f>
        <v>#VALUE!</v>
      </c>
      <c r="F3" s="19"/>
      <c r="K3" s="24"/>
    </row>
    <row r="4" spans="1:11" x14ac:dyDescent="0.3">
      <c r="A4" s="17" t="s">
        <v>64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76</v>
      </c>
      <c r="B5" s="18" t="e">
        <f ca="1">RTD!B3</f>
        <v>#NAME?</v>
      </c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e">
        <f ca="1">C19=D19</f>
        <v>#VALUE!</v>
      </c>
      <c r="C19">
        <f>C17</f>
        <v>6</v>
      </c>
      <c r="D19" s="6" t="e">
        <f ca="1">SUM(pyRoundTrip(_xll.xloRef(G17:I17)))</f>
        <v>#VALUE!</v>
      </c>
    </row>
    <row r="20" spans="1:10" x14ac:dyDescent="0.3">
      <c r="A20" s="2"/>
      <c r="B20" s="21" t="e">
        <f ca="1">AND(B14:B19)</f>
        <v>#VALUE!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e">
        <f ca="1">C28=D28</f>
        <v>#VALUE!</v>
      </c>
      <c r="C28">
        <f>C27</f>
        <v>10</v>
      </c>
      <c r="D28" s="6" t="e">
        <f ca="1">SUM(pyTestArr2d(_xll.xloRef(G27:H28)))</f>
        <v>#VALUE!</v>
      </c>
      <c r="G28" s="11">
        <v>3</v>
      </c>
      <c r="H28" s="11">
        <v>4</v>
      </c>
    </row>
    <row r="29" spans="1:10" x14ac:dyDescent="0.3">
      <c r="A29" s="2" t="s">
        <v>79</v>
      </c>
      <c r="B29" t="e">
        <f ca="1">C29=D29</f>
        <v>#VALUE!</v>
      </c>
      <c r="C29">
        <f>C28</f>
        <v>10</v>
      </c>
      <c r="D29" s="6" t="e">
        <f ca="1">SUM(_xll.pyTestFastArr(G27:H28))</f>
        <v>#VALUE!</v>
      </c>
      <c r="G29" s="11"/>
      <c r="H29" s="11"/>
    </row>
    <row r="30" spans="1:10" x14ac:dyDescent="0.3">
      <c r="A30" s="2"/>
      <c r="B30" s="21" t="e">
        <f ca="1">AND(B27:B28)</f>
        <v>#VALUE!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pyTestKwargs(G32:H33)</f>
        <v>Foo</v>
      </c>
      <c r="E32" s="6" t="str">
        <v>dead</v>
      </c>
      <c r="G32" s="11" t="s">
        <v>17</v>
      </c>
      <c r="H32" s="11" t="s">
        <v>19</v>
      </c>
    </row>
    <row r="33" spans="1:8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8" x14ac:dyDescent="0.3">
      <c r="B34" s="21" t="b">
        <f>AND(B32:B33)</f>
        <v>1</v>
      </c>
    </row>
    <row r="35" spans="1:8" x14ac:dyDescent="0.3">
      <c r="A35" s="2"/>
    </row>
    <row r="36" spans="1:8" x14ac:dyDescent="0.3">
      <c r="A36" s="2" t="s">
        <v>25</v>
      </c>
      <c r="B36" t="b">
        <f>C36=D36</f>
        <v>1</v>
      </c>
      <c r="C36" t="s">
        <v>24</v>
      </c>
      <c r="D36" s="6" t="str">
        <f>pyTestCache(G36)</f>
        <v>Hello world</v>
      </c>
      <c r="G36" t="str">
        <f>pyTestCache()</f>
        <v>欣[PythonTest.xlsm]Test 1!R36C7CustomObj,A</v>
      </c>
    </row>
    <row r="37" spans="1:8" x14ac:dyDescent="0.3">
      <c r="A37" s="2" t="s">
        <v>60</v>
      </c>
      <c r="B37" t="e">
        <f ca="1">INDEX(_xll.xloVal(D37),1,1)=C37</f>
        <v>#VALUE!</v>
      </c>
      <c r="C37" t="str">
        <f>G32</f>
        <v>Foo</v>
      </c>
      <c r="D37" s="6" t="str">
        <f>pyTestToCache(G32:H33)</f>
        <v>永[PythonTest.xlsm]Test 1!R37C4,A</v>
      </c>
    </row>
    <row r="38" spans="1:8" x14ac:dyDescent="0.3">
      <c r="B38" s="21" t="e">
        <f ca="1">AND(B36:B37)</f>
        <v>#VALUE!</v>
      </c>
    </row>
    <row r="40" spans="1:8" ht="13.8" customHeight="1" x14ac:dyDescent="0.3"/>
    <row r="41" spans="1:8" x14ac:dyDescent="0.3">
      <c r="A41" s="2" t="s">
        <v>28</v>
      </c>
      <c r="B41" s="21" t="b">
        <f>C41=D41</f>
        <v>1</v>
      </c>
      <c r="C41">
        <v>4</v>
      </c>
      <c r="D41" s="6">
        <f>SUM(pyTestIter(4,1))</f>
        <v>4</v>
      </c>
    </row>
    <row r="43" spans="1:8" x14ac:dyDescent="0.3">
      <c r="A43" s="2" t="s">
        <v>39</v>
      </c>
      <c r="B43" s="21" t="b">
        <f>C43=D43</f>
        <v>1</v>
      </c>
      <c r="C43" t="s">
        <v>72</v>
      </c>
      <c r="D43" t="str">
        <f>pyTestCom()</f>
        <v>{90160000-000F-0000-1000-0000000FF1CE}</v>
      </c>
    </row>
    <row r="44" spans="1:8" x14ac:dyDescent="0.3">
      <c r="A44" s="2"/>
    </row>
    <row r="45" spans="1:8" x14ac:dyDescent="0.3">
      <c r="A45" s="2" t="s">
        <v>40</v>
      </c>
      <c r="B45" s="21" t="b">
        <f ca="1">C45=SUBSTITUTE(D45, "'","")</f>
        <v>1</v>
      </c>
      <c r="C45" s="4" t="str">
        <f ca="1">MID(CELL("filename"),FIND("[",CELL("filename")),100)&amp;"!"&amp;ADDRESS(ROW(H46),COLUMN(H46),4)</f>
        <v>[PythonTest.xlsm]Test 1!H46</v>
      </c>
      <c r="D45" s="9" t="str">
        <f>pyTestRange(G45:H46)</f>
        <v>'[PythonTest.xlsm]Test 1'!H46</v>
      </c>
      <c r="E45" s="4"/>
      <c r="G45" s="11">
        <v>1</v>
      </c>
      <c r="H45" s="11">
        <v>2</v>
      </c>
    </row>
    <row r="46" spans="1:8" x14ac:dyDescent="0.3">
      <c r="A46" s="2"/>
      <c r="G46" s="11">
        <v>3</v>
      </c>
      <c r="H46" s="11">
        <v>4</v>
      </c>
    </row>
    <row r="47" spans="1:8" x14ac:dyDescent="0.3">
      <c r="A47" s="2"/>
    </row>
    <row r="48" spans="1:8" x14ac:dyDescent="0.3">
      <c r="A48" s="2" t="s">
        <v>31</v>
      </c>
      <c r="B48" t="b">
        <f>C48=D48</f>
        <v>1</v>
      </c>
      <c r="C48">
        <v>2</v>
      </c>
      <c r="D48" s="6">
        <f>pyTestCustomConv(1)</f>
        <v>2</v>
      </c>
    </row>
    <row r="49" spans="1:10" x14ac:dyDescent="0.3">
      <c r="A49" s="2"/>
      <c r="B49" t="b">
        <f>C49=D49</f>
        <v>1</v>
      </c>
      <c r="C49">
        <f>2*SUM(G49:H49)</f>
        <v>14</v>
      </c>
      <c r="D49" s="6">
        <f>SUM(pyTestCustomConv(G49:H49))</f>
        <v>14</v>
      </c>
      <c r="G49" s="11">
        <v>3</v>
      </c>
      <c r="H49" s="11">
        <v>4</v>
      </c>
    </row>
    <row r="50" spans="1:10" x14ac:dyDescent="0.3">
      <c r="B50" s="21" t="b">
        <f>AND(B48:B49)</f>
        <v>1</v>
      </c>
    </row>
    <row r="51" spans="1:10" x14ac:dyDescent="0.3">
      <c r="A51" s="2"/>
    </row>
    <row r="52" spans="1:10" x14ac:dyDescent="0.3">
      <c r="A52" s="2" t="s">
        <v>33</v>
      </c>
      <c r="B52" t="b">
        <f>C52=D52</f>
        <v>1</v>
      </c>
      <c r="C52">
        <f>H53</f>
        <v>2</v>
      </c>
      <c r="D52" s="6">
        <f>pyTestFrameFetch(J52,,"B")</f>
        <v>2</v>
      </c>
      <c r="G52" s="12" t="s">
        <v>32</v>
      </c>
      <c r="H52" s="12" t="s">
        <v>29</v>
      </c>
      <c r="I52" s="12" t="s">
        <v>30</v>
      </c>
      <c r="J52" s="13" t="str">
        <f>pyTestDFrame(G52:I53)</f>
        <v>欣[PythonTest.xlsm]Test 1!R52C10DataFrame,A</v>
      </c>
    </row>
    <row r="53" spans="1:10" x14ac:dyDescent="0.3">
      <c r="A53" s="2"/>
      <c r="G53" s="12">
        <v>1</v>
      </c>
      <c r="H53" s="12">
        <v>2</v>
      </c>
      <c r="I53" s="12">
        <v>3</v>
      </c>
    </row>
    <row r="54" spans="1:10" x14ac:dyDescent="0.3">
      <c r="A54" s="2"/>
    </row>
    <row r="55" spans="1:10" x14ac:dyDescent="0.3">
      <c r="A55" s="2" t="s">
        <v>34</v>
      </c>
      <c r="B55" t="b">
        <f>C55=D55</f>
        <v>1</v>
      </c>
      <c r="C55" t="str">
        <f>I56</f>
        <v>Foo</v>
      </c>
      <c r="D55" s="6" t="str">
        <f>pyTestFrameFetch(J55,0,"B")</f>
        <v>Foo</v>
      </c>
      <c r="G55" s="11" t="s">
        <v>35</v>
      </c>
      <c r="H55" s="11" t="s">
        <v>32</v>
      </c>
      <c r="I55" s="11" t="s">
        <v>29</v>
      </c>
      <c r="J55" s="13" t="str">
        <f>pyTestDFrameIndex(G55:I57)</f>
        <v>欣[PythonTest.xlsm]Test 1!R55C10,A</v>
      </c>
    </row>
    <row r="56" spans="1:10" x14ac:dyDescent="0.3">
      <c r="A56" s="2"/>
      <c r="B56" t="b">
        <f>C56=D56</f>
        <v>1</v>
      </c>
      <c r="C56">
        <f>H57</f>
        <v>2.1</v>
      </c>
      <c r="D56" s="6">
        <f t="array" ref="D56:D57">pyTestFrameFetch(J55,1)</f>
        <v>2.1</v>
      </c>
      <c r="G56" s="11">
        <v>0</v>
      </c>
      <c r="H56" s="11">
        <v>5.3</v>
      </c>
      <c r="I56" s="11" t="s">
        <v>17</v>
      </c>
    </row>
    <row r="57" spans="1:10" x14ac:dyDescent="0.3">
      <c r="A57" s="2"/>
      <c r="B57" t="b">
        <f>C57=D57</f>
        <v>1</v>
      </c>
      <c r="C57" t="str">
        <f>I57</f>
        <v>Bar</v>
      </c>
      <c r="D57" s="6" t="str">
        <v>Bar</v>
      </c>
      <c r="G57" s="11">
        <v>1</v>
      </c>
      <c r="H57" s="11">
        <v>2.1</v>
      </c>
      <c r="I57" s="11" t="s">
        <v>18</v>
      </c>
    </row>
    <row r="58" spans="1:10" x14ac:dyDescent="0.3">
      <c r="A58" s="2"/>
    </row>
    <row r="59" spans="1:10" x14ac:dyDescent="0.3">
      <c r="A59" s="2" t="s">
        <v>55</v>
      </c>
      <c r="B59" t="b">
        <f t="array" ref="B59">SUM((D59:F61=G55:I57)+0)=9</f>
        <v>1</v>
      </c>
      <c r="D59" s="6" t="str">
        <f t="array" ref="D59:F61">pyTestFrameFetch(J55)</f>
        <v>Time</v>
      </c>
      <c r="E59" s="6" t="str">
        <v>A</v>
      </c>
      <c r="F59" s="6" t="str">
        <v>B</v>
      </c>
    </row>
    <row r="60" spans="1:10" x14ac:dyDescent="0.3">
      <c r="D60" s="6">
        <v>0</v>
      </c>
      <c r="E60" s="6">
        <v>5.3</v>
      </c>
      <c r="F60" s="6" t="str">
        <v>Foo</v>
      </c>
    </row>
    <row r="61" spans="1:10" x14ac:dyDescent="0.3">
      <c r="D61" s="6">
        <v>1</v>
      </c>
      <c r="E61" s="6">
        <v>2.1</v>
      </c>
      <c r="F61" s="6" t="str">
        <v>Bar</v>
      </c>
    </row>
    <row r="63" spans="1:10" x14ac:dyDescent="0.3">
      <c r="B63" t="b">
        <f t="array" ref="B63">SUM((D63:F64=G55:I56)+0)=6</f>
        <v>1</v>
      </c>
      <c r="D63" s="6" t="str">
        <f t="array" ref="D63:F64">pyTestFrameWrite(J55)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B65" s="21" t="b">
        <f>AND(B52:B64)</f>
        <v>1</v>
      </c>
    </row>
    <row r="67" spans="1:7" x14ac:dyDescent="0.3">
      <c r="A67" s="2" t="s">
        <v>36</v>
      </c>
      <c r="B67" t="b">
        <f>C67=D67</f>
        <v>1</v>
      </c>
      <c r="C67" s="3">
        <f>G67+1</f>
        <v>42737</v>
      </c>
      <c r="D67" s="7">
        <f>pyTestDate(G67)</f>
        <v>42737</v>
      </c>
      <c r="E67" s="3"/>
      <c r="G67" s="14">
        <v>42736</v>
      </c>
    </row>
    <row r="68" spans="1:7" x14ac:dyDescent="0.3">
      <c r="B68" t="b">
        <f>D68=C68</f>
        <v>1</v>
      </c>
      <c r="C68" s="3">
        <v>42768</v>
      </c>
      <c r="D68" s="7">
        <f>pyTestDate(G68)</f>
        <v>42768</v>
      </c>
      <c r="E68" s="3"/>
      <c r="G68" s="15" t="s">
        <v>37</v>
      </c>
    </row>
    <row r="69" spans="1:7" x14ac:dyDescent="0.3">
      <c r="B69" s="21" t="b">
        <f>AND(B67:B68)</f>
        <v>1</v>
      </c>
    </row>
    <row r="71" spans="1:7" x14ac:dyDescent="0.3">
      <c r="A71" s="2" t="s">
        <v>47</v>
      </c>
      <c r="B71" s="21" t="e">
        <f ca="1">E77&lt;&gt;F77</f>
        <v>#VALUE!</v>
      </c>
      <c r="D71" t="s">
        <v>48</v>
      </c>
      <c r="E71">
        <v>3</v>
      </c>
      <c r="F71">
        <v>1</v>
      </c>
      <c r="G71">
        <v>4</v>
      </c>
    </row>
    <row r="72" spans="1:7" x14ac:dyDescent="0.3">
      <c r="A72" t="s">
        <v>54</v>
      </c>
      <c r="D72" t="s">
        <v>49</v>
      </c>
      <c r="E72">
        <v>3</v>
      </c>
      <c r="F72">
        <v>2</v>
      </c>
      <c r="G72">
        <v>7</v>
      </c>
    </row>
    <row r="73" spans="1:7" x14ac:dyDescent="0.3">
      <c r="D73" t="s">
        <v>50</v>
      </c>
      <c r="E73">
        <v>500</v>
      </c>
      <c r="F73">
        <f>E73</f>
        <v>500</v>
      </c>
      <c r="G73">
        <f>E73</f>
        <v>500</v>
      </c>
    </row>
    <row r="74" spans="1:7" x14ac:dyDescent="0.3">
      <c r="D74" t="s">
        <v>51</v>
      </c>
      <c r="E74">
        <f>E73</f>
        <v>500</v>
      </c>
      <c r="F74">
        <f>E74</f>
        <v>500</v>
      </c>
      <c r="G74">
        <f>E74</f>
        <v>500</v>
      </c>
    </row>
    <row r="75" spans="1:7" x14ac:dyDescent="0.3">
      <c r="D75" t="s">
        <v>52</v>
      </c>
      <c r="E75">
        <f>E74</f>
        <v>500</v>
      </c>
      <c r="F75">
        <f>E75</f>
        <v>500</v>
      </c>
      <c r="G75">
        <f>E75</f>
        <v>500</v>
      </c>
    </row>
    <row r="76" spans="1:7" x14ac:dyDescent="0.3">
      <c r="D76" t="s">
        <v>53</v>
      </c>
      <c r="E76">
        <f>E75</f>
        <v>500</v>
      </c>
      <c r="F76">
        <f>E76</f>
        <v>500</v>
      </c>
      <c r="G76">
        <f>E76</f>
        <v>500</v>
      </c>
    </row>
    <row r="77" spans="1:7" x14ac:dyDescent="0.3">
      <c r="E77" s="6" t="e">
        <f ca="1">_xll.pyThreadTest(E71,E72,E73,E74,E75,E76)</f>
        <v>#VALUE!</v>
      </c>
      <c r="F77" s="6" t="e">
        <f ca="1">_xll.pyThreadTest(F71,F72,F73,F74,F75,F76)</f>
        <v>#VALUE!</v>
      </c>
      <c r="G77" s="6" t="e">
        <f ca="1">_xll.pyThreadTest(G71,G72,G73,G74,G75,G76)</f>
        <v>#VALUE!</v>
      </c>
    </row>
    <row r="80" spans="1:7" x14ac:dyDescent="0.3">
      <c r="A80" s="2" t="s">
        <v>56</v>
      </c>
      <c r="B80" s="21" t="e">
        <f ca="1">C80=D82</f>
        <v>#VALUE!</v>
      </c>
      <c r="C80" t="s">
        <v>57</v>
      </c>
      <c r="D80" t="str">
        <f>pyWbPath()</f>
        <v>C:\Users\Steven\dev\xloil\tests\AutoSheets</v>
      </c>
    </row>
    <row r="81" spans="1:8" x14ac:dyDescent="0.3">
      <c r="A81" t="s">
        <v>58</v>
      </c>
      <c r="D81" t="e">
        <f ca="1">_xll.xloPyLoad(D80&amp;"\TestModule.py")</f>
        <v>#VALUE!</v>
      </c>
    </row>
    <row r="82" spans="1:8" x14ac:dyDescent="0.3">
      <c r="D82" s="6" t="e">
        <f ca="1">_xll.pyTestLoadMod()</f>
        <v>#VALUE!</v>
      </c>
    </row>
    <row r="84" spans="1:8" x14ac:dyDescent="0.3">
      <c r="A84" s="2" t="s">
        <v>59</v>
      </c>
      <c r="B84" s="21" t="b">
        <f>AND(D84=F84+1, D85=G84+1, D86=H84+1,D87=F85+1,D88=G85+1)</f>
        <v>1</v>
      </c>
      <c r="D84" s="6">
        <f t="array" ref="D84:D88">pyTestDateConv(F84:H85)</f>
        <v>43001</v>
      </c>
      <c r="F84" s="11">
        <v>43000</v>
      </c>
      <c r="G84" s="11">
        <v>44000</v>
      </c>
      <c r="H84" s="11">
        <v>45000.66</v>
      </c>
    </row>
    <row r="85" spans="1:8" x14ac:dyDescent="0.3">
      <c r="D85" s="6">
        <v>44001</v>
      </c>
      <c r="F85" s="11">
        <f>G84</f>
        <v>44000</v>
      </c>
      <c r="G85" s="11">
        <v>37000</v>
      </c>
      <c r="H85" s="11">
        <f>H84</f>
        <v>45000.66</v>
      </c>
    </row>
    <row r="86" spans="1:8" x14ac:dyDescent="0.3">
      <c r="D86" s="6">
        <v>45001.66</v>
      </c>
    </row>
    <row r="87" spans="1:8" x14ac:dyDescent="0.3">
      <c r="D87" s="6">
        <v>44001</v>
      </c>
    </row>
    <row r="88" spans="1:8" x14ac:dyDescent="0.3">
      <c r="D88" s="6">
        <v>37001</v>
      </c>
    </row>
    <row r="90" spans="1:8" x14ac:dyDescent="0.3">
      <c r="A90" s="2" t="s">
        <v>61</v>
      </c>
      <c r="B90" s="21" t="b">
        <f>C90:C91=D90:D91</f>
        <v>1</v>
      </c>
      <c r="C90">
        <v>0</v>
      </c>
      <c r="D90" s="6">
        <f>pyTestDynamic0()</f>
        <v>0</v>
      </c>
    </row>
    <row r="91" spans="1:8" x14ac:dyDescent="0.3">
      <c r="C91">
        <v>2</v>
      </c>
      <c r="D91" s="6">
        <f>pyTestDynamic2()</f>
        <v>2</v>
      </c>
    </row>
    <row r="93" spans="1:8" x14ac:dyDescent="0.3">
      <c r="A93" s="2" t="s">
        <v>62</v>
      </c>
      <c r="B93" s="21" t="b">
        <f>C93=D93</f>
        <v>1</v>
      </c>
      <c r="C93" t="str">
        <f>pyTestWorkbooks()</f>
        <v>PythonTest.xlsm</v>
      </c>
      <c r="D93" s="6" t="str">
        <f>pyTestWorkbooks()</f>
        <v>PythonTest.xlsm</v>
      </c>
    </row>
    <row r="95" spans="1:8" x14ac:dyDescent="0.3">
      <c r="A95" s="2" t="s">
        <v>65</v>
      </c>
      <c r="B95" s="21" t="b">
        <f>C95=D95</f>
        <v>1</v>
      </c>
      <c r="C95">
        <v>6</v>
      </c>
      <c r="D95" s="6">
        <f>pyTestExcelCall("sum",1,2,3)</f>
        <v>6</v>
      </c>
    </row>
    <row r="98" spans="1:4" x14ac:dyDescent="0.3">
      <c r="A98" s="2" t="s">
        <v>66</v>
      </c>
      <c r="B98" t="b">
        <f ca="1">C98=D98</f>
        <v>1</v>
      </c>
      <c r="C98" t="str">
        <f ca="1">"="&amp;SUBSTITUTE(CELL("address",C95)&amp;"="&amp;CELL("address",D95),"$","")</f>
        <v>=C95=D95</v>
      </c>
      <c r="D98" s="6" t="str">
        <f>pyTestExcelCall("getcell",6,Test_ExcelCall)</f>
        <v>=C95=D95</v>
      </c>
    </row>
    <row r="99" spans="1:4" x14ac:dyDescent="0.3">
      <c r="B99" t="e">
        <f ca="1">C99=D99</f>
        <v>#VALUE!</v>
      </c>
      <c r="C99" t="str">
        <f ca="1">C98</f>
        <v>=C95=D95</v>
      </c>
      <c r="D99" s="6" t="e">
        <f ca="1">_xll.pyTestRangeFormula2(Test_ExcelCall)</f>
        <v>#VALUE!</v>
      </c>
    </row>
    <row r="100" spans="1:4" x14ac:dyDescent="0.3">
      <c r="B100" t="b">
        <f ca="1">C100=D100</f>
        <v>1</v>
      </c>
      <c r="C100" t="str">
        <f ca="1">C99</f>
        <v>=C95=D95</v>
      </c>
      <c r="D100" s="6" t="str">
        <f>pyTestRangeFormula(Test_ExcelCall)</f>
        <v>=C95=D95</v>
      </c>
    </row>
    <row r="101" spans="1:4" x14ac:dyDescent="0.3">
      <c r="B101" s="21" t="e">
        <f ca="1">AND(B98:B100)</f>
        <v>#VALUE!</v>
      </c>
    </row>
    <row r="103" spans="1:4" x14ac:dyDescent="0.3">
      <c r="A103" s="2" t="s">
        <v>67</v>
      </c>
      <c r="B103" t="b">
        <f>C103=D103</f>
        <v>1</v>
      </c>
      <c r="C103" t="str">
        <f>C93</f>
        <v>PythonTest.xlsm</v>
      </c>
      <c r="D103" s="6" t="str">
        <f>pyTestAppRun("pyTestWorkbooks")</f>
        <v>PythonTest.xlsm</v>
      </c>
    </row>
    <row r="104" spans="1:4" x14ac:dyDescent="0.3">
      <c r="B104" t="b">
        <f>C104=D104</f>
        <v>1</v>
      </c>
      <c r="C104">
        <v>6</v>
      </c>
      <c r="D104" s="6">
        <f>pyTestAppRun("pySum",1,2,3)</f>
        <v>6</v>
      </c>
    </row>
    <row r="105" spans="1:4" x14ac:dyDescent="0.3">
      <c r="B105" t="b">
        <f ca="1">C105=SUBSTITUTE(D105, "'","")</f>
        <v>1</v>
      </c>
      <c r="C105" t="str">
        <f ca="1">MID(CELL("filename"),FIND("[",CELL("filename")),100)&amp;"!"&amp;ADDRESS(ROW(E104),COLUMN(E104),4)</f>
        <v>[PythonTest.xlsm]Test 1!E104</v>
      </c>
      <c r="D105" s="6" t="str">
        <f>pyTestAppRun("pyTestRange", D103)</f>
        <v>'[PythonTest.xlsm]Test 1'!E104</v>
      </c>
    </row>
    <row r="106" spans="1:4" x14ac:dyDescent="0.3">
      <c r="B106" s="21" t="b">
        <f ca="1">AND(B103:B105)</f>
        <v>1</v>
      </c>
    </row>
  </sheetData>
  <conditionalFormatting sqref="B8:B11 B14:B19 B21:B23 B25 B31:B33 B35:B37 B51:B56 B40:B49 B79 B70 B72:B77 B81:B83 B85:B89 B91:B92 B94 B27:B29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57:B64 B66:B68">
    <cfRule type="expression" dxfId="20" priority="18">
      <formula>IFERROR(NOT(OR(ISBLANK(B57),B57)),TRUE)</formula>
    </cfRule>
  </conditionalFormatting>
  <conditionalFormatting sqref="B98:B100">
    <cfRule type="expression" dxfId="19" priority="17">
      <formula>IFERROR(NOT(OR(ISBLANK(B98),B98)),TRUE)</formula>
    </cfRule>
  </conditionalFormatting>
  <conditionalFormatting sqref="B103:B104">
    <cfRule type="expression" dxfId="18" priority="16">
      <formula>IFERROR(NOT(OR(ISBLANK(B103),B103)),TRUE)</formula>
    </cfRule>
  </conditionalFormatting>
  <conditionalFormatting sqref="B105">
    <cfRule type="expression" dxfId="17" priority="13">
      <formula>IFERROR(NOT(OR(ISBLANK(B105),B105)),TRUE)</formula>
    </cfRule>
  </conditionalFormatting>
  <conditionalFormatting sqref="B50">
    <cfRule type="expression" dxfId="16" priority="12">
      <formula>IFERROR(NOT(OR(ISBLANK(B50),B50)),TRUE)</formula>
    </cfRule>
  </conditionalFormatting>
  <conditionalFormatting sqref="B65">
    <cfRule type="expression" dxfId="15" priority="11">
      <formula>IFERROR(NOT(OR(ISBLANK(B65),B65)),TRUE)</formula>
    </cfRule>
  </conditionalFormatting>
  <conditionalFormatting sqref="B69">
    <cfRule type="expression" dxfId="14" priority="10">
      <formula>IFERROR(NOT(OR(ISBLANK(B69),B69)),TRUE)</formula>
    </cfRule>
  </conditionalFormatting>
  <conditionalFormatting sqref="B71">
    <cfRule type="expression" dxfId="13" priority="9">
      <formula>IFERROR(NOT(OR(ISBLANK(B71),B71)),TRUE)</formula>
    </cfRule>
  </conditionalFormatting>
  <conditionalFormatting sqref="B80">
    <cfRule type="expression" dxfId="12" priority="8">
      <formula>IFERROR(NOT(OR(ISBLANK(B80),B80)),TRUE)</formula>
    </cfRule>
  </conditionalFormatting>
  <conditionalFormatting sqref="B84">
    <cfRule type="expression" dxfId="11" priority="7">
      <formula>IFERROR(NOT(OR(ISBLANK(B84),B84)),TRUE)</formula>
    </cfRule>
  </conditionalFormatting>
  <conditionalFormatting sqref="B90">
    <cfRule type="expression" dxfId="10" priority="6">
      <formula>IFERROR(NOT(OR(ISBLANK(B90),B90)),TRUE)</formula>
    </cfRule>
  </conditionalFormatting>
  <conditionalFormatting sqref="B93">
    <cfRule type="expression" dxfId="9" priority="5">
      <formula>IFERROR(NOT(OR(ISBLANK(B93),B93)),TRUE)</formula>
    </cfRule>
  </conditionalFormatting>
  <conditionalFormatting sqref="B95">
    <cfRule type="expression" dxfId="8" priority="4">
      <formula>IFERROR(NOT(OR(ISBLANK(B95),B95)),TRUE)</formula>
    </cfRule>
  </conditionalFormatting>
  <conditionalFormatting sqref="B101">
    <cfRule type="expression" dxfId="7" priority="3">
      <formula>IFERROR(NOT(OR(ISBLANK(B101),B101)),TRUE)</formula>
    </cfRule>
  </conditionalFormatting>
  <conditionalFormatting sqref="B106">
    <cfRule type="expression" dxfId="6" priority="1">
      <formula>IFERROR(NOT(OR(ISBLANK(B106),B106)),TRUE)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80</v>
      </c>
      <c r="C1" s="4" t="s">
        <v>75</v>
      </c>
      <c r="D1" s="26">
        <f>pyTestAsyncGen(2)</f>
        <v>44801.053624643137</v>
      </c>
    </row>
    <row r="3" spans="1:9" x14ac:dyDescent="0.3">
      <c r="A3" s="17" t="s">
        <v>76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74</v>
      </c>
      <c r="B6" t="b">
        <f>C6=SUBSTITUTE(D6, "'","")</f>
        <v>1</v>
      </c>
      <c r="C6" s="4" t="str">
        <f>"[PythonTest.xlsm]RTD!R"&amp;ROW(D6)&amp;"C"&amp;COLUMN(D6)</f>
        <v>[PythonTest.xlsm]RTD!R6C4</v>
      </c>
      <c r="D6" s="8" t="str">
        <f>pyTestCaller()</f>
        <v>'[PythonTest.xlsm]RTD'!R6C4</v>
      </c>
    </row>
    <row r="7" spans="1:9" x14ac:dyDescent="0.3">
      <c r="B7" t="b">
        <f>C7=SUBSTITUTE(D7, "'","")</f>
        <v>1</v>
      </c>
      <c r="C7" s="4" t="str">
        <f>"[PythonTest.xlsm]RTD!R"&amp;ROW(D7)&amp;"C"&amp;COLUMN(D7)</f>
        <v>[PythonTest.xlsm]RTD!R7C4</v>
      </c>
      <c r="D7" s="8" t="str">
        <f>pyTestCaller()</f>
        <v>'[PythonTest.xlsm]RTD'!R7C4</v>
      </c>
    </row>
    <row r="9" spans="1:9" x14ac:dyDescent="0.3">
      <c r="A9" s="2" t="s">
        <v>73</v>
      </c>
      <c r="B9" t="b">
        <f>C9=D9</f>
        <v>1</v>
      </c>
      <c r="C9">
        <v>6</v>
      </c>
      <c r="D9" s="8">
        <f>pyTestExcelCallAsync(1,2,3)</f>
        <v>6</v>
      </c>
    </row>
    <row r="11" spans="1:9" x14ac:dyDescent="0.3">
      <c r="A11" s="2" t="s">
        <v>70</v>
      </c>
      <c r="B11" t="b">
        <f>C11=D11</f>
        <v>1</v>
      </c>
      <c r="C11">
        <v>6</v>
      </c>
      <c r="D11" s="8">
        <f>pyRtdArray(G11:I11)</f>
        <v>6</v>
      </c>
      <c r="G11" s="25">
        <v>1</v>
      </c>
      <c r="H11" s="25">
        <v>2</v>
      </c>
      <c r="I11" s="25">
        <v>3</v>
      </c>
    </row>
    <row r="12" spans="1:9" x14ac:dyDescent="0.3">
      <c r="A12" s="2" t="s">
        <v>71</v>
      </c>
      <c r="B12" t="b">
        <f>NOT(ISNA(D12))</f>
        <v>1</v>
      </c>
      <c r="D12" s="8" t="str">
        <f>pyTestRtdManual(2)</f>
        <v xml:space="preserve">ImportError: cannot import name 'function_arg_info' from 'xloil.register' (C:\Users\Steven\dev\xloil\libs\xlOil_Python\Package\xloil\register.py)
Traceback (most recent call last):
  File "C:\Users\Steven\dev\xloil\tests\AutoSheets\PythonTest.py", line 333, in pyTestRtdManual
    return xlo.rtd.subscribe(_rtdServer, "Time:" + str(secs), fetch)
  File "C:\Users\Steven\dev\xloil\libs\xlOil_Python\Package\xloil\rtd.py", line 49, in subscribe
    from .register import async_wrapper, find_return_converter, function_arg_info
ImportError: cannot import name 'function_arg_info' from 'xloil.register' (C:\Users\Steven\dev\xloil\libs\xlOil_Python\Package\xloil\register.py)
</v>
      </c>
    </row>
    <row r="15" spans="1:9" x14ac:dyDescent="0.3">
      <c r="A15" s="2" t="s">
        <v>44</v>
      </c>
      <c r="C15" s="10" t="e">
        <f ca="1">_xll.pyGetUrl(D15)</f>
        <v>#VALUE!</v>
      </c>
      <c r="D15" t="s">
        <v>42</v>
      </c>
    </row>
    <row r="16" spans="1:9" x14ac:dyDescent="0.3">
      <c r="C16" s="10" t="e">
        <f ca="1">_xll.pyGetUrl(D16)</f>
        <v>#VALUE!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b">
        <f>C20=D20</f>
        <v>1</v>
      </c>
      <c r="C20" t="str">
        <f>C19</f>
        <v>foo</v>
      </c>
      <c r="D20" s="8" t="str">
        <f>pyTestAsyncRtd(G19,1)</f>
        <v>foo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78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2022-08-27T23:17:17Z</dcterms:modified>
</cp:coreProperties>
</file>