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Steven\dev\xloil\tests\AutoSheets\"/>
    </mc:Choice>
  </mc:AlternateContent>
  <xr:revisionPtr revIDLastSave="0" documentId="13_ncr:1_{6EE1BE5D-ACC7-452D-9898-A4B79BF019B5}" xr6:coauthVersionLast="47" xr6:coauthVersionMax="47" xr10:uidLastSave="{00000000-0000-0000-0000-000000000000}"/>
  <bookViews>
    <workbookView xWindow="828" yWindow="-108" windowWidth="22320" windowHeight="13176" xr2:uid="{00000000-000D-0000-FFFF-FFFF00000000}"/>
  </bookViews>
  <sheets>
    <sheet name="Test 1" sheetId="1" r:id="rId1"/>
    <sheet name="RTD" sheetId="2" r:id="rId2"/>
    <sheet name="{Settings}" sheetId="3" r:id="rId3"/>
  </sheets>
  <functionGroups builtInGroupCount="19"/>
  <definedNames>
    <definedName name="Settings_Wait">'{Settings}'!$B$1</definedName>
    <definedName name="Test_AppRun">'Test 1'!$B$111</definedName>
    <definedName name="Test_Array1d">'Test 1'!$B$24</definedName>
    <definedName name="Test_Array2d">'Test 1'!$B$30</definedName>
    <definedName name="Test_Cache">'Test 1'!$B$42</definedName>
    <definedName name="Test_ComBasic">'Test 1'!$B$47</definedName>
    <definedName name="Test_CustomConverter">'Test 1'!$B$54</definedName>
    <definedName name="Test_Dataframe">'Test 1'!$B$69</definedName>
    <definedName name="Test_Date">'Test 1'!$B$73</definedName>
    <definedName name="Test_DateConversion">'Test 1'!$B$89</definedName>
    <definedName name="Test_DynamicRegistration">'Test 1'!$B$95</definedName>
    <definedName name="Test_ExcelCall">'Test 1'!$B$100</definedName>
    <definedName name="Test_ExternalLoad">'Test 1'!$B$84</definedName>
    <definedName name="Test_GetFormula">'Test 1'!$B$106</definedName>
    <definedName name="Test_IteratorReturn">'Test 1'!$B$45</definedName>
    <definedName name="Test_Kwargs">'Test 1'!$B$34</definedName>
    <definedName name="Test_RoundTrip">'Test 1'!$B$20</definedName>
    <definedName name="Test_Sum">'Test 1'!$B$12</definedName>
    <definedName name="Test_Threaded">'Test 1'!$B$75</definedName>
    <definedName name="Test_WorkbooksObject">'Test 1'!$B$98</definedName>
    <definedName name="TestArea" localSheetId="0">'Test 1'!$G$1:$J$3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7" i="1" l="1"/>
  <c r="C36" i="1"/>
  <c r="D19" i="2"/>
  <c r="C19" i="2"/>
  <c r="C20" i="2" s="1"/>
  <c r="C7" i="2"/>
  <c r="C6" i="2"/>
  <c r="C110" i="1"/>
  <c r="C103" i="1"/>
  <c r="D9" i="2"/>
  <c r="D20" i="2"/>
  <c r="D11" i="2"/>
  <c r="D12" i="2"/>
  <c r="D1" i="2"/>
  <c r="D84" i="1" a="1"/>
  <c r="D86" i="1" a="1"/>
  <c r="D85" i="1"/>
  <c r="D6" i="2"/>
  <c r="D103" i="1"/>
  <c r="D37" i="1" a="1"/>
  <c r="D105" i="1"/>
  <c r="D32" i="1" a="1"/>
  <c r="D29" i="1"/>
  <c r="D7" i="2"/>
  <c r="D104" i="1"/>
  <c r="D36" i="1" a="1"/>
  <c r="D84" i="1" l="1"/>
  <c r="D86" i="1"/>
  <c r="D32" i="1"/>
  <c r="D33" i="1"/>
  <c r="E32" i="1"/>
  <c r="E33" i="1"/>
  <c r="D37" i="1"/>
  <c r="B37" i="1" s="1"/>
  <c r="D36" i="1"/>
  <c r="B36" i="1" s="1"/>
  <c r="B20" i="2"/>
  <c r="B19" i="2"/>
  <c r="B12" i="2"/>
  <c r="B103" i="1"/>
  <c r="B11" i="2"/>
  <c r="C17" i="2"/>
  <c r="D87" i="1" a="1"/>
  <c r="C15" i="2"/>
  <c r="C16" i="2"/>
  <c r="D87" i="1" l="1"/>
  <c r="B85" i="1" s="1"/>
  <c r="B38" i="1"/>
  <c r="B9" i="2"/>
  <c r="B4" i="1"/>
  <c r="D110" i="1"/>
  <c r="B7" i="2" l="1"/>
  <c r="B6" i="2"/>
  <c r="C104" i="1"/>
  <c r="C105" i="1" s="1"/>
  <c r="D108" i="1"/>
  <c r="C98" i="1"/>
  <c r="D14" i="1"/>
  <c r="D95" i="1"/>
  <c r="D100" i="1"/>
  <c r="D109" i="1"/>
  <c r="D96" i="1"/>
  <c r="D98" i="1"/>
  <c r="B3" i="2" l="1"/>
  <c r="B110" i="1"/>
  <c r="C108" i="1"/>
  <c r="B108" i="1" s="1"/>
  <c r="B109" i="1"/>
  <c r="B105" i="1"/>
  <c r="B104" i="1"/>
  <c r="B100" i="1"/>
  <c r="B98" i="1"/>
  <c r="B95" i="1"/>
  <c r="C41" i="1"/>
  <c r="C49" i="1"/>
  <c r="D41" i="1"/>
  <c r="B111" i="1" l="1"/>
  <c r="B106" i="1"/>
  <c r="B41" i="1"/>
  <c r="H90" i="1"/>
  <c r="F90" i="1"/>
  <c r="D89" i="1" a="1"/>
  <c r="D91" i="1" l="1"/>
  <c r="D92" i="1"/>
  <c r="D93" i="1"/>
  <c r="D89" i="1"/>
  <c r="D90" i="1"/>
  <c r="B89" i="1" l="1"/>
  <c r="B33" i="1"/>
  <c r="B32" i="1"/>
  <c r="E78" i="1"/>
  <c r="F78" i="1" s="1"/>
  <c r="G77" i="1"/>
  <c r="F77" i="1"/>
  <c r="B34" i="1" l="1"/>
  <c r="E79" i="1"/>
  <c r="F79" i="1" s="1"/>
  <c r="G78" i="1"/>
  <c r="G79" i="1" l="1"/>
  <c r="E80" i="1"/>
  <c r="D49" i="1"/>
  <c r="B49" i="1" l="1"/>
  <c r="F80" i="1"/>
  <c r="F81" i="1" s="1"/>
  <c r="G80" i="1"/>
  <c r="G81" i="1" s="1"/>
  <c r="C71" i="1"/>
  <c r="E81" i="1"/>
  <c r="D11" i="1"/>
  <c r="D72" i="1"/>
  <c r="B75" i="1" l="1"/>
  <c r="B72" i="1"/>
  <c r="D8" i="1"/>
  <c r="D71" i="1"/>
  <c r="B71" i="1" l="1"/>
  <c r="B73" i="1" s="1"/>
  <c r="C61" i="1"/>
  <c r="C60" i="1"/>
  <c r="C59" i="1"/>
  <c r="C56" i="1"/>
  <c r="C53" i="1"/>
  <c r="C27" i="1"/>
  <c r="C28" i="1" s="1"/>
  <c r="C29" i="1" s="1"/>
  <c r="B29" i="1" s="1"/>
  <c r="C22" i="1" a="1"/>
  <c r="C22" i="1" s="1"/>
  <c r="C18" i="1"/>
  <c r="C17" i="1"/>
  <c r="C19" i="1" s="1"/>
  <c r="D19" i="1"/>
  <c r="D53" i="1"/>
  <c r="D16" i="1"/>
  <c r="C11" i="1"/>
  <c r="D10" i="1"/>
  <c r="D17" i="1"/>
  <c r="D23" i="1"/>
  <c r="D9" i="1"/>
  <c r="D18" i="1"/>
  <c r="J59" i="1"/>
  <c r="D27" i="1"/>
  <c r="J56" i="1"/>
  <c r="D15" i="1"/>
  <c r="D52" i="1"/>
  <c r="D22" i="1"/>
  <c r="D47" i="1"/>
  <c r="D45" i="1"/>
  <c r="G40" i="1"/>
  <c r="D28" i="1"/>
  <c r="B47" i="1" l="1"/>
  <c r="B11" i="1"/>
  <c r="B45" i="1"/>
  <c r="B27" i="1"/>
  <c r="B10" i="1"/>
  <c r="B17" i="1"/>
  <c r="B52" i="1"/>
  <c r="B14" i="1"/>
  <c r="B15" i="1"/>
  <c r="B8" i="1"/>
  <c r="B18" i="1"/>
  <c r="B9" i="1"/>
  <c r="B16" i="1"/>
  <c r="B23" i="1"/>
  <c r="B53" i="1"/>
  <c r="B22" i="1"/>
  <c r="B19" i="1"/>
  <c r="B28" i="1"/>
  <c r="D63" i="1" a="1"/>
  <c r="D60" i="1" a="1"/>
  <c r="D59" i="1"/>
  <c r="D40" i="1"/>
  <c r="D56" i="1"/>
  <c r="D67" i="1" a="1"/>
  <c r="B54" i="1" l="1"/>
  <c r="B30" i="1"/>
  <c r="B24" i="1"/>
  <c r="B20" i="1"/>
  <c r="B12" i="1"/>
  <c r="F67" i="1"/>
  <c r="E68" i="1"/>
  <c r="F68" i="1"/>
  <c r="E67" i="1"/>
  <c r="D68" i="1"/>
  <c r="D67" i="1"/>
  <c r="F64" i="1"/>
  <c r="D65" i="1"/>
  <c r="D64" i="1"/>
  <c r="D63" i="1"/>
  <c r="F63" i="1"/>
  <c r="E64" i="1"/>
  <c r="F65" i="1"/>
  <c r="E63" i="1"/>
  <c r="E65" i="1"/>
  <c r="B56" i="1"/>
  <c r="D60" i="1"/>
  <c r="B60" i="1" s="1"/>
  <c r="D61" i="1"/>
  <c r="B61" i="1" s="1"/>
  <c r="B59" i="1"/>
  <c r="B40" i="1"/>
  <c r="B42" i="1" s="1"/>
  <c r="B67" i="1" l="1" a="1"/>
  <c r="B67" i="1" s="1"/>
  <c r="B63" i="1" a="1"/>
  <c r="B63" i="1" s="1"/>
  <c r="B69" i="1" l="1"/>
  <c r="B84" i="1" l="1"/>
  <c r="B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<sst xmlns="http://schemas.openxmlformats.org/spreadsheetml/2006/main" count="99" uniqueCount="82">
  <si>
    <t>pySum</t>
  </si>
  <si>
    <t>pySumNums</t>
  </si>
  <si>
    <t>Result</t>
  </si>
  <si>
    <t>pySumNums:Bad_Convert</t>
  </si>
  <si>
    <t>pySum:Missing_Arg</t>
  </si>
  <si>
    <t>pyRoundTrip:int</t>
  </si>
  <si>
    <t>pyRoundTrip:double</t>
  </si>
  <si>
    <t>pyRoundTrip:date</t>
  </si>
  <si>
    <t>pyRoundTrip:array</t>
  </si>
  <si>
    <t>pyRoundTrip:empty_array</t>
  </si>
  <si>
    <t>pyTestArr1d</t>
  </si>
  <si>
    <t>pyTestArr1d:2d_input</t>
  </si>
  <si>
    <t>pyTestArr2d</t>
  </si>
  <si>
    <t>Expected</t>
  </si>
  <si>
    <t>Ouput</t>
  </si>
  <si>
    <t>Error</t>
  </si>
  <si>
    <t>Data</t>
  </si>
  <si>
    <t>Foo</t>
  </si>
  <si>
    <t>Bar</t>
  </si>
  <si>
    <t>dead</t>
  </si>
  <si>
    <t>parrot</t>
  </si>
  <si>
    <t>pyTestKwargs</t>
  </si>
  <si>
    <t>pyTestAsync</t>
  </si>
  <si>
    <t>foo</t>
  </si>
  <si>
    <t>Hello world</t>
  </si>
  <si>
    <t>pyTestCache</t>
  </si>
  <si>
    <t>pyRoundTrip:array_ref</t>
  </si>
  <si>
    <t>pyTestArr2d:cache_ref</t>
  </si>
  <si>
    <t>pyTestIter</t>
  </si>
  <si>
    <t>B</t>
  </si>
  <si>
    <t>C</t>
  </si>
  <si>
    <t>pyTestCustomConv</t>
  </si>
  <si>
    <t>A</t>
  </si>
  <si>
    <t>pyTestDFrame</t>
  </si>
  <si>
    <t>pyTestDFrame:index</t>
  </si>
  <si>
    <t>Time</t>
  </si>
  <si>
    <t>pyTestDate</t>
  </si>
  <si>
    <t>2017Feb01</t>
  </si>
  <si>
    <t>Test</t>
  </si>
  <si>
    <t>pyTestCom</t>
  </si>
  <si>
    <t>pyTestRange</t>
  </si>
  <si>
    <t>pyTestAsyncRtd</t>
  </si>
  <si>
    <t>https://stackoverflow.com/questions/51674751/using-requests-library-to-make-asynchronous-requests-with-python-3-7</t>
  </si>
  <si>
    <t>https://docs.python.org</t>
  </si>
  <si>
    <t>pyGetUrl</t>
  </si>
  <si>
    <t>https://blockchain.info/tobtc?currency=USD&amp;value=50000</t>
  </si>
  <si>
    <t>pyGetUrlLive</t>
  </si>
  <si>
    <t>pyThreadTest</t>
  </si>
  <si>
    <t>x</t>
  </si>
  <si>
    <t>y</t>
  </si>
  <si>
    <t>a</t>
  </si>
  <si>
    <t>b</t>
  </si>
  <si>
    <t xml:space="preserve">u </t>
  </si>
  <si>
    <t>v</t>
  </si>
  <si>
    <t>(Should run multithreaded and return 3 different thread Ids)</t>
  </si>
  <si>
    <t>pyTestDFrame: dataframe output</t>
  </si>
  <si>
    <t>Great Success!</t>
  </si>
  <si>
    <t>Test external module load</t>
  </si>
  <si>
    <t>pyTestDateConv</t>
  </si>
  <si>
    <t>pyTestToCache</t>
  </si>
  <si>
    <t>pyTestDynamic</t>
  </si>
  <si>
    <t>pyTestWorkbooks</t>
  </si>
  <si>
    <t>FUNCTION TESTS</t>
  </si>
  <si>
    <t>MACRO TESTS</t>
  </si>
  <si>
    <t>pyTestExcelFunc</t>
  </si>
  <si>
    <t>pyTestRangeFormula</t>
  </si>
  <si>
    <t>pyTestAppRun</t>
  </si>
  <si>
    <t>Pythian</t>
  </si>
  <si>
    <t>OK</t>
  </si>
  <si>
    <t>pyTestRtdArray</t>
  </si>
  <si>
    <t>pyTestRtdManual</t>
  </si>
  <si>
    <t>{90160000-000F-0000-1000-0000000FF1CE}</t>
  </si>
  <si>
    <t>pyTestExcelFuncAsync</t>
  </si>
  <si>
    <t>pyTestCallerRTD</t>
  </si>
  <si>
    <t>Clock</t>
  </si>
  <si>
    <t>RTD TESTS</t>
  </si>
  <si>
    <t>Calc on Test 1 finished at: 2022-06-17 20:57:50.934535</t>
  </si>
  <si>
    <t>Wait</t>
  </si>
  <si>
    <t>pyTestFastArray</t>
  </si>
  <si>
    <t>pyTestVargs</t>
  </si>
  <si>
    <t>xloImport</t>
  </si>
  <si>
    <t>Calc finished at: 2023-01-25 23:43:38.115028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</si>
</sst>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7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right"/>
    </xf>
    <xf numFmtId="0" fontId="2" fillId="2" borderId="0" xfId="0" applyFont="1" applyFill="1"/>
    <xf numFmtId="0" fontId="0" fillId="2" borderId="0" xfId="0" applyFill="1"/>
    <xf numFmtId="14" fontId="0" fillId="2" borderId="0" xfId="0" applyNumberFormat="1" applyFill="1"/>
    <xf numFmtId="0" fontId="0" fillId="2" borderId="0" xfId="0" quotePrefix="1" applyFill="1"/>
    <xf numFmtId="0" fontId="0" fillId="2" borderId="0" xfId="0" applyFill="1" applyAlignment="1">
      <alignment horizontal="right"/>
    </xf>
    <xf numFmtId="0" fontId="0" fillId="0" borderId="0" xfId="0" quotePrefix="1"/>
    <xf numFmtId="0" fontId="0" fillId="3" borderId="0" xfId="0" applyFill="1"/>
    <xf numFmtId="0" fontId="0" fillId="3" borderId="0" xfId="0" applyFill="1" applyAlignment="1">
      <alignment horizontal="center"/>
    </xf>
    <xf numFmtId="0" fontId="0" fillId="4" borderId="0" xfId="0" applyFill="1"/>
    <xf numFmtId="14" fontId="0" fillId="3" borderId="0" xfId="0" applyNumberFormat="1" applyFill="1"/>
    <xf numFmtId="14" fontId="0" fillId="3" borderId="0" xfId="0" quotePrefix="1" applyNumberFormat="1" applyFill="1"/>
    <xf numFmtId="0" fontId="3" fillId="0" borderId="0" xfId="1"/>
    <xf numFmtId="0" fontId="1" fillId="0" borderId="0" xfId="0" quotePrefix="1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5" borderId="0" xfId="0" applyFill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6" borderId="0" xfId="0" applyFill="1"/>
    <xf numFmtId="0" fontId="0" fillId="0" borderId="1" xfId="0" quotePrefix="1" applyBorder="1"/>
  </cellXfs>
  <cellStyles count="2">
    <cellStyle name="Hyperlink" xfId="1" builtinId="8"/>
    <cellStyle name="Normal" xfId="0" builtinId="0"/>
  </cellStyles>
  <dxfs count="24"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xloil.9f613e63.0644.4aff.a81a.c85e239e6ba9">
      <tp>
        <v>0</v>
        <stp/>
        <stp>{124B7AD1-12AA-4FE4-89C0-F6821DEB8A55}</stp>
        <tr r="D84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220980</xdr:colOff>
          <xdr:row>0</xdr:row>
          <xdr:rowOff>137160</xdr:rowOff>
        </xdr:from>
        <xdr:to>
          <xdr:col>5</xdr:col>
          <xdr:colOff>822960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Macro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blockchain.info/tobtc?currency=USD&amp;value=5000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111"/>
  <sheetViews>
    <sheetView showGridLines="0" tabSelected="1" topLeftCell="A73" workbookViewId="0">
      <selection activeCell="D82" sqref="D82"/>
    </sheetView>
  </sheetViews>
  <sheetFormatPr defaultRowHeight="14.4" x14ac:dyDescent="0.3"/>
  <cols>
    <col min="1" max="1" width="37.77734375" customWidth="1"/>
    <col min="2" max="2" width="10.5546875" bestFit="1" customWidth="1"/>
    <col min="3" max="3" width="45.5546875" customWidth="1"/>
    <col min="4" max="4" width="28.44140625" customWidth="1"/>
    <col min="5" max="5" width="11.44140625" customWidth="1"/>
    <col min="6" max="6" width="15" customWidth="1"/>
    <col min="7" max="7" width="13.33203125" customWidth="1"/>
    <col min="8" max="8" width="15.88671875" customWidth="1"/>
  </cols>
  <sheetData>
    <row r="1" spans="1:11" x14ac:dyDescent="0.3">
      <c r="A1" s="5" t="s">
        <v>76</v>
      </c>
      <c r="B1" s="5"/>
      <c r="C1" s="5"/>
      <c r="D1" s="10"/>
      <c r="F1" s="19"/>
      <c r="G1" t="s">
        <v>68</v>
      </c>
      <c r="H1" t="s">
        <v>67</v>
      </c>
      <c r="I1" t="s">
        <v>67</v>
      </c>
      <c r="J1" t="s">
        <v>67</v>
      </c>
      <c r="K1" s="22" t="s">
        <v>67</v>
      </c>
    </row>
    <row r="2" spans="1:11" x14ac:dyDescent="0.3">
      <c r="A2" s="10"/>
      <c r="B2" s="10"/>
      <c r="C2" s="10"/>
      <c r="D2" s="10"/>
      <c r="F2" s="19"/>
      <c r="K2" s="23"/>
    </row>
    <row r="3" spans="1:11" x14ac:dyDescent="0.3">
      <c r="A3" s="17" t="s">
        <v>62</v>
      </c>
      <c r="B3" s="18" t="b">
        <f ca="1">AND(B8:B203)</f>
        <v>1</v>
      </c>
      <c r="F3" s="19"/>
      <c r="K3" s="24"/>
    </row>
    <row r="4" spans="1:11" x14ac:dyDescent="0.3">
      <c r="A4" s="17" t="s">
        <v>63</v>
      </c>
      <c r="B4" s="18" t="b">
        <f>G1="OK"</f>
        <v>1</v>
      </c>
      <c r="G4" s="20"/>
      <c r="H4" s="20"/>
      <c r="I4" s="20"/>
      <c r="J4" s="20"/>
    </row>
    <row r="5" spans="1:11" x14ac:dyDescent="0.3">
      <c r="A5" s="17" t="s">
        <v>75</v>
      </c>
      <c r="B5" s="18"/>
    </row>
    <row r="6" spans="1:11" x14ac:dyDescent="0.3">
      <c r="A6" s="17"/>
    </row>
    <row r="7" spans="1:11" x14ac:dyDescent="0.3">
      <c r="A7" s="1" t="s">
        <v>38</v>
      </c>
      <c r="B7" s="1" t="s">
        <v>2</v>
      </c>
      <c r="C7" s="1" t="s">
        <v>13</v>
      </c>
      <c r="D7" s="1" t="s">
        <v>14</v>
      </c>
      <c r="E7" s="1"/>
      <c r="G7" s="1" t="s">
        <v>16</v>
      </c>
    </row>
    <row r="8" spans="1:11" x14ac:dyDescent="0.3">
      <c r="A8" s="2" t="s">
        <v>0</v>
      </c>
      <c r="B8" t="b">
        <f>C8=D8</f>
        <v>1</v>
      </c>
      <c r="C8">
        <v>6</v>
      </c>
      <c r="D8" s="6">
        <f>pySum(1,2,3)</f>
        <v>6</v>
      </c>
    </row>
    <row r="9" spans="1:11" x14ac:dyDescent="0.3">
      <c r="A9" s="2" t="s">
        <v>4</v>
      </c>
      <c r="B9" t="b">
        <f>NOT(ISERROR(FIND("Error",D9)))</f>
        <v>1</v>
      </c>
      <c r="C9" t="s">
        <v>15</v>
      </c>
      <c r="D9" s="9" t="str">
        <f>pySum(1,2)</f>
        <v>Error in arg 3 'z': Cannot convert '': Unknown type</v>
      </c>
    </row>
    <row r="10" spans="1:11" x14ac:dyDescent="0.3">
      <c r="A10" s="2" t="s">
        <v>1</v>
      </c>
      <c r="B10" t="b">
        <f>C10=D10</f>
        <v>1</v>
      </c>
      <c r="C10">
        <v>9</v>
      </c>
      <c r="D10" s="6">
        <f>pySumNums(1,2,3)</f>
        <v>9</v>
      </c>
      <c r="F10" s="10"/>
    </row>
    <row r="11" spans="1:11" x14ac:dyDescent="0.3">
      <c r="A11" s="2" t="s">
        <v>3</v>
      </c>
      <c r="B11" t="b">
        <f>NOT(ISERROR(FIND("Error",C11)))</f>
        <v>1</v>
      </c>
      <c r="C11" t="str">
        <f>pySumNums(1,2,3.2)</f>
        <v>Error in arg 3 'a': Cannot convert '3.2': Expected int</v>
      </c>
      <c r="D11" s="9" t="str">
        <f>pySumNums(1,2,3.2)</f>
        <v>Error in arg 3 'a': Cannot convert '3.2': Expected int</v>
      </c>
    </row>
    <row r="12" spans="1:11" x14ac:dyDescent="0.3">
      <c r="B12" s="21" t="b">
        <f>AND(B8:B11)</f>
        <v>1</v>
      </c>
    </row>
    <row r="14" spans="1:11" x14ac:dyDescent="0.3">
      <c r="A14" s="2" t="s">
        <v>5</v>
      </c>
      <c r="B14" t="b">
        <f>D14=C14</f>
        <v>1</v>
      </c>
      <c r="C14">
        <v>3</v>
      </c>
      <c r="D14" s="6">
        <f>pyRoundTrip(C14)</f>
        <v>3</v>
      </c>
    </row>
    <row r="15" spans="1:11" x14ac:dyDescent="0.3">
      <c r="A15" s="2" t="s">
        <v>6</v>
      </c>
      <c r="B15" t="b">
        <f>D15=C15</f>
        <v>1</v>
      </c>
      <c r="C15">
        <v>3.3</v>
      </c>
      <c r="D15" s="6">
        <f>pyRoundTrip(C15)</f>
        <v>3.3</v>
      </c>
    </row>
    <row r="16" spans="1:11" x14ac:dyDescent="0.3">
      <c r="A16" s="2" t="s">
        <v>7</v>
      </c>
      <c r="B16" t="b">
        <f>D16=C16</f>
        <v>1</v>
      </c>
      <c r="C16" s="3">
        <v>42736</v>
      </c>
      <c r="D16" s="7">
        <f>pyRoundTrip(C16)</f>
        <v>42736</v>
      </c>
      <c r="E16" s="3"/>
    </row>
    <row r="17" spans="1:10" x14ac:dyDescent="0.3">
      <c r="A17" s="2" t="s">
        <v>8</v>
      </c>
      <c r="B17" t="b">
        <f>C17=D17</f>
        <v>1</v>
      </c>
      <c r="C17">
        <f>SUM(G17:I17)</f>
        <v>6</v>
      </c>
      <c r="D17" s="6">
        <f>SUM(pyRoundTrip(G17:I17))</f>
        <v>6</v>
      </c>
      <c r="G17" s="11">
        <v>1</v>
      </c>
      <c r="H17" s="11">
        <v>2</v>
      </c>
      <c r="I17" s="11">
        <v>3</v>
      </c>
    </row>
    <row r="18" spans="1:10" x14ac:dyDescent="0.3">
      <c r="A18" s="2" t="s">
        <v>9</v>
      </c>
      <c r="B18" t="b">
        <f>ISNA(D18)</f>
        <v>1</v>
      </c>
      <c r="C18" t="e">
        <f>NA()</f>
        <v>#N/A</v>
      </c>
      <c r="D18" s="6" t="e">
        <f>(pyRoundTrip(G18:I18))</f>
        <v>#N/A</v>
      </c>
    </row>
    <row r="19" spans="1:10" x14ac:dyDescent="0.3">
      <c r="A19" s="2" t="s">
        <v>26</v>
      </c>
      <c r="B19" t="b">
        <f>C19=D19</f>
        <v>1</v>
      </c>
      <c r="C19">
        <f>C17</f>
        <v>6</v>
      </c>
      <c r="D19" s="6">
        <f>SUM(pyRoundTrip(_xll.xloRef(G17:I17)))</f>
        <v>6</v>
      </c>
    </row>
    <row r="20" spans="1:10" x14ac:dyDescent="0.3">
      <c r="A20" s="2"/>
      <c r="B20" s="21" t="b">
        <f>AND(B14:B19)</f>
        <v>1</v>
      </c>
    </row>
    <row r="22" spans="1:10" x14ac:dyDescent="0.3">
      <c r="A22" s="2" t="s">
        <v>10</v>
      </c>
      <c r="B22" t="b">
        <f>C22=D22</f>
        <v>1</v>
      </c>
      <c r="C22">
        <f t="array" ref="C22">SUM(H22:J22*G22)</f>
        <v>18.600000000000001</v>
      </c>
      <c r="D22" s="6">
        <f>SUM(pyTestArr1d(H22:J22,G22))</f>
        <v>18.600000000000001</v>
      </c>
      <c r="G22" s="11">
        <v>3.1</v>
      </c>
      <c r="H22" s="11">
        <v>1</v>
      </c>
      <c r="I22" s="11">
        <v>2</v>
      </c>
      <c r="J22" s="11">
        <v>3</v>
      </c>
    </row>
    <row r="23" spans="1:10" x14ac:dyDescent="0.3">
      <c r="A23" s="2" t="s">
        <v>11</v>
      </c>
      <c r="B23" t="b">
        <f>NOT(ISERROR(FIND("Error",D23)))</f>
        <v>1</v>
      </c>
      <c r="C23" t="s">
        <v>15</v>
      </c>
      <c r="D23" s="6" t="str">
        <f>pyTestArr1d(H23:J24,G23)</f>
        <v>Error in arg 1 'x': Failed reading [2 x 3]: Expecting a 1-dim array</v>
      </c>
      <c r="G23" s="11">
        <v>3.1</v>
      </c>
      <c r="H23" s="11">
        <v>1</v>
      </c>
      <c r="I23" s="11">
        <v>2</v>
      </c>
      <c r="J23" s="11">
        <v>3</v>
      </c>
    </row>
    <row r="24" spans="1:10" x14ac:dyDescent="0.3">
      <c r="B24" s="21" t="b">
        <f>AND(B22:B23)</f>
        <v>1</v>
      </c>
      <c r="G24" s="11"/>
      <c r="H24" s="11">
        <v>4</v>
      </c>
      <c r="I24" s="11">
        <v>5</v>
      </c>
      <c r="J24" s="11">
        <v>6</v>
      </c>
    </row>
    <row r="27" spans="1:10" x14ac:dyDescent="0.3">
      <c r="A27" s="2" t="s">
        <v>12</v>
      </c>
      <c r="B27" t="b">
        <f>C27=D27</f>
        <v>1</v>
      </c>
      <c r="C27">
        <f>SUM(G27:H28)</f>
        <v>10</v>
      </c>
      <c r="D27" s="6">
        <f>SUM(pyTestArr2d(G27:H28))</f>
        <v>10</v>
      </c>
      <c r="G27" s="11">
        <v>1</v>
      </c>
      <c r="H27" s="11">
        <v>2</v>
      </c>
    </row>
    <row r="28" spans="1:10" x14ac:dyDescent="0.3">
      <c r="A28" s="2" t="s">
        <v>27</v>
      </c>
      <c r="B28" t="b">
        <f>C28=D28</f>
        <v>1</v>
      </c>
      <c r="C28">
        <f>C27</f>
        <v>10</v>
      </c>
      <c r="D28" s="6">
        <f>SUM(pyTestArr2d(_xll.xloRef(G27:H28)))</f>
        <v>10</v>
      </c>
      <c r="G28" s="11">
        <v>3</v>
      </c>
      <c r="H28" s="11">
        <v>4</v>
      </c>
    </row>
    <row r="29" spans="1:10" x14ac:dyDescent="0.3">
      <c r="A29" s="2" t="s">
        <v>78</v>
      </c>
      <c r="B29" t="b">
        <f>C29=D29</f>
        <v>1</v>
      </c>
      <c r="C29">
        <f>C28</f>
        <v>10</v>
      </c>
      <c r="D29" s="6">
        <f>SUM(_xll.pyTestFastArr(G27:H28))</f>
        <v>10</v>
      </c>
      <c r="G29" s="11"/>
      <c r="H29" s="11"/>
    </row>
    <row r="30" spans="1:10" x14ac:dyDescent="0.3">
      <c r="A30" s="2"/>
      <c r="B30" s="21" t="b">
        <f>AND(B27:B28)</f>
        <v>1</v>
      </c>
    </row>
    <row r="32" spans="1:10" x14ac:dyDescent="0.3">
      <c r="A32" s="2" t="s">
        <v>21</v>
      </c>
      <c r="B32" t="b">
        <f>H32=E32</f>
        <v>1</v>
      </c>
      <c r="D32" s="6" t="str">
        <f t="array" ref="D32:E33">pyTestKwargs(G32:H32,G33:H33)</f>
        <v>Foo</v>
      </c>
      <c r="E32" s="6" t="str">
        <v>dead</v>
      </c>
      <c r="G32" s="11" t="s">
        <v>17</v>
      </c>
      <c r="H32" s="11" t="s">
        <v>19</v>
      </c>
    </row>
    <row r="33" spans="1:9" x14ac:dyDescent="0.3">
      <c r="A33" s="2"/>
      <c r="B33" t="b">
        <f>E33=H33</f>
        <v>1</v>
      </c>
      <c r="D33" s="6" t="str">
        <v>Bar</v>
      </c>
      <c r="E33" s="6" t="str">
        <v>parrot</v>
      </c>
      <c r="G33" s="11" t="s">
        <v>18</v>
      </c>
      <c r="H33" s="11" t="s">
        <v>20</v>
      </c>
    </row>
    <row r="34" spans="1:9" x14ac:dyDescent="0.3">
      <c r="B34" s="21" t="b">
        <f>AND(B32:B33)</f>
        <v>1</v>
      </c>
    </row>
    <row r="35" spans="1:9" x14ac:dyDescent="0.3">
      <c r="A35" s="2"/>
    </row>
    <row r="36" spans="1:9" x14ac:dyDescent="0.3">
      <c r="A36" s="2" t="s">
        <v>79</v>
      </c>
      <c r="B36" t="b">
        <f>D36=C36</f>
        <v>1</v>
      </c>
      <c r="C36">
        <f>SUM(G37:I37)</f>
        <v>6</v>
      </c>
      <c r="D36" s="6" cm="1">
        <f t="array" ref="D36">pyTestVargs(G37,H37,I37)</f>
        <v>6</v>
      </c>
      <c r="G36" t="s">
        <v>32</v>
      </c>
      <c r="H36" t="s">
        <v>29</v>
      </c>
      <c r="I36" t="s">
        <v>30</v>
      </c>
    </row>
    <row r="37" spans="1:9" x14ac:dyDescent="0.3">
      <c r="A37" s="2"/>
      <c r="B37" t="b">
        <f>D37=C37</f>
        <v>1</v>
      </c>
      <c r="C37">
        <f>SUM(G37:I37)*2</f>
        <v>12</v>
      </c>
      <c r="D37" s="6" cm="1">
        <f t="array" ref="D37">pyTestVargsKwargs(TRANSPOSE(G36:I37),G37,H37,I37)</f>
        <v>12</v>
      </c>
      <c r="G37" s="11">
        <v>1</v>
      </c>
      <c r="H37" s="11">
        <v>2</v>
      </c>
      <c r="I37" s="11">
        <v>3</v>
      </c>
    </row>
    <row r="38" spans="1:9" x14ac:dyDescent="0.3">
      <c r="A38" s="2"/>
      <c r="B38" s="21" t="b">
        <f>AND(B36:B37)</f>
        <v>1</v>
      </c>
    </row>
    <row r="39" spans="1:9" x14ac:dyDescent="0.3">
      <c r="A39" s="2"/>
      <c r="B39" s="2"/>
    </row>
    <row r="40" spans="1:9" x14ac:dyDescent="0.3">
      <c r="A40" s="2" t="s">
        <v>25</v>
      </c>
      <c r="B40" t="b">
        <f>C40=D40</f>
        <v>1</v>
      </c>
      <c r="C40" t="s">
        <v>24</v>
      </c>
      <c r="D40" s="6" t="str">
        <f>pyTestCache(G40)</f>
        <v>Hello world</v>
      </c>
      <c r="G40" t="str">
        <f>pyTestCache()</f>
        <v>欣[PythonTest.xlsm]Test 1!R40C7CustomObj,A</v>
      </c>
    </row>
    <row r="41" spans="1:9" x14ac:dyDescent="0.3">
      <c r="A41" s="2" t="s">
        <v>59</v>
      </c>
      <c r="B41" t="b">
        <f>INDEX(_xll.xloVal(D41),1,1)=C41</f>
        <v>1</v>
      </c>
      <c r="C41" t="str">
        <f>G32</f>
        <v>Foo</v>
      </c>
      <c r="D41" s="6" t="str">
        <f>pyTestToCache(G32:H33)</f>
        <v>永[PythonTest.xlsm]Test 1!R41C4,A</v>
      </c>
    </row>
    <row r="42" spans="1:9" x14ac:dyDescent="0.3">
      <c r="B42" s="21" t="b">
        <f>AND(B40:B41)</f>
        <v>1</v>
      </c>
    </row>
    <row r="44" spans="1:9" ht="13.8" customHeight="1" x14ac:dyDescent="0.3"/>
    <row r="45" spans="1:9" x14ac:dyDescent="0.3">
      <c r="A45" s="2" t="s">
        <v>28</v>
      </c>
      <c r="B45" s="21" t="b">
        <f>C45=D45</f>
        <v>1</v>
      </c>
      <c r="C45">
        <v>4</v>
      </c>
      <c r="D45" s="6">
        <f>SUM(pyTestIter(4,1))</f>
        <v>4</v>
      </c>
    </row>
    <row r="47" spans="1:9" x14ac:dyDescent="0.3">
      <c r="A47" s="2" t="s">
        <v>39</v>
      </c>
      <c r="B47" s="21" t="b">
        <f>C47=D47</f>
        <v>1</v>
      </c>
      <c r="C47" t="s">
        <v>71</v>
      </c>
      <c r="D47" t="str">
        <f>pyTestCom()</f>
        <v>{90160000-000F-0000-1000-0000000FF1CE}</v>
      </c>
    </row>
    <row r="48" spans="1:9" x14ac:dyDescent="0.3">
      <c r="A48" s="2"/>
    </row>
    <row r="49" spans="1:10" x14ac:dyDescent="0.3">
      <c r="A49" s="2" t="s">
        <v>40</v>
      </c>
      <c r="B49" s="21" t="b">
        <f ca="1">C49=SUBSTITUTE(D49, "'","")</f>
        <v>1</v>
      </c>
      <c r="C49" s="4" t="str">
        <f ca="1">MID(CELL("filename"),FIND("[",CELL("filename")),100)&amp;"!"&amp;ADDRESS(ROW(H50),COLUMN(H50),4)</f>
        <v>[PythonTest.xlsm]Test 1!H50</v>
      </c>
      <c r="D49" s="9" t="str">
        <f>pyTestRange(G49:H50)</f>
        <v>'[PythonTest.xlsm]Test 1'!H50</v>
      </c>
      <c r="E49" s="4"/>
      <c r="G49" s="11">
        <v>1</v>
      </c>
      <c r="H49" s="11">
        <v>2</v>
      </c>
    </row>
    <row r="50" spans="1:10" x14ac:dyDescent="0.3">
      <c r="A50" s="2"/>
      <c r="G50" s="11">
        <v>3</v>
      </c>
      <c r="H50" s="11">
        <v>4</v>
      </c>
    </row>
    <row r="51" spans="1:10" x14ac:dyDescent="0.3">
      <c r="A51" s="2"/>
    </row>
    <row r="52" spans="1:10" x14ac:dyDescent="0.3">
      <c r="A52" s="2" t="s">
        <v>31</v>
      </c>
      <c r="B52" t="b">
        <f>C52=D52</f>
        <v>1</v>
      </c>
      <c r="C52">
        <v>2</v>
      </c>
      <c r="D52" s="6">
        <f>pyTestCustomConv(1)</f>
        <v>2</v>
      </c>
    </row>
    <row r="53" spans="1:10" x14ac:dyDescent="0.3">
      <c r="A53" s="2"/>
      <c r="B53" t="b">
        <f>C53=D53</f>
        <v>1</v>
      </c>
      <c r="C53">
        <f>2*SUM(G53:H53)</f>
        <v>14</v>
      </c>
      <c r="D53" s="6">
        <f>SUM(pyTestCustomConv(G53:H53))</f>
        <v>14</v>
      </c>
      <c r="G53" s="11">
        <v>3</v>
      </c>
      <c r="H53" s="11">
        <v>4</v>
      </c>
    </row>
    <row r="54" spans="1:10" x14ac:dyDescent="0.3">
      <c r="B54" s="21" t="b">
        <f>AND(B52:B53)</f>
        <v>1</v>
      </c>
    </row>
    <row r="55" spans="1:10" x14ac:dyDescent="0.3">
      <c r="A55" s="2"/>
    </row>
    <row r="56" spans="1:10" x14ac:dyDescent="0.3">
      <c r="A56" s="2" t="s">
        <v>33</v>
      </c>
      <c r="B56" t="b">
        <f>C56=D56</f>
        <v>1</v>
      </c>
      <c r="C56">
        <f>H57</f>
        <v>2</v>
      </c>
      <c r="D56" s="6">
        <f>pyTestFrameFetch(J56,,"B")</f>
        <v>2</v>
      </c>
      <c r="G56" s="12" t="s">
        <v>32</v>
      </c>
      <c r="H56" s="12" t="s">
        <v>29</v>
      </c>
      <c r="I56" s="12" t="s">
        <v>30</v>
      </c>
      <c r="J56" s="13" t="str">
        <f>pyTestDFrame(G56:I57)</f>
        <v>欣[PythonTest.xlsm]Test 1!R56C10DataFrame,A</v>
      </c>
    </row>
    <row r="57" spans="1:10" x14ac:dyDescent="0.3">
      <c r="A57" s="2"/>
      <c r="G57" s="12">
        <v>1</v>
      </c>
      <c r="H57" s="12">
        <v>2</v>
      </c>
      <c r="I57" s="12">
        <v>3</v>
      </c>
    </row>
    <row r="58" spans="1:10" x14ac:dyDescent="0.3">
      <c r="A58" s="2"/>
    </row>
    <row r="59" spans="1:10" x14ac:dyDescent="0.3">
      <c r="A59" s="2" t="s">
        <v>34</v>
      </c>
      <c r="B59" t="b">
        <f>C59=D59</f>
        <v>1</v>
      </c>
      <c r="C59" t="str">
        <f>I60</f>
        <v>Foo</v>
      </c>
      <c r="D59" s="6" t="str">
        <f>pyTestFrameFetch(J59,0,"B")</f>
        <v>Foo</v>
      </c>
      <c r="G59" s="11" t="s">
        <v>35</v>
      </c>
      <c r="H59" s="11" t="s">
        <v>32</v>
      </c>
      <c r="I59" s="11" t="s">
        <v>29</v>
      </c>
      <c r="J59" s="13" t="str">
        <f>pyTestDFrameIndex(G59:I61)</f>
        <v>欣[PythonTest.xlsm]Test 1!R59C10,A</v>
      </c>
    </row>
    <row r="60" spans="1:10" x14ac:dyDescent="0.3">
      <c r="A60" s="2"/>
      <c r="B60" t="b">
        <f>C60=D60</f>
        <v>1</v>
      </c>
      <c r="C60">
        <f>H61</f>
        <v>2.1</v>
      </c>
      <c r="D60" s="6">
        <f t="array" ref="D60:D61">pyTestFrameFetch(J59,1)</f>
        <v>2.1</v>
      </c>
      <c r="G60" s="11">
        <v>0</v>
      </c>
      <c r="H60" s="11">
        <v>5.3</v>
      </c>
      <c r="I60" s="11" t="s">
        <v>17</v>
      </c>
    </row>
    <row r="61" spans="1:10" x14ac:dyDescent="0.3">
      <c r="A61" s="2"/>
      <c r="B61" t="b">
        <f>C61=D61</f>
        <v>1</v>
      </c>
      <c r="C61" t="str">
        <f>I61</f>
        <v>Bar</v>
      </c>
      <c r="D61" s="6" t="str">
        <v>Bar</v>
      </c>
      <c r="G61" s="11">
        <v>1</v>
      </c>
      <c r="H61" s="11">
        <v>2.1</v>
      </c>
      <c r="I61" s="11" t="s">
        <v>18</v>
      </c>
    </row>
    <row r="62" spans="1:10" x14ac:dyDescent="0.3">
      <c r="A62" s="2"/>
    </row>
    <row r="63" spans="1:10" x14ac:dyDescent="0.3">
      <c r="A63" s="2" t="s">
        <v>55</v>
      </c>
      <c r="B63" t="b">
        <f t="array" ref="B63">SUM((D63:F65=G59:I61)+0)=9</f>
        <v>1</v>
      </c>
      <c r="D63" s="6" t="str">
        <f t="array" ref="D63:F65">pyTestFrameFetch(J59)</f>
        <v>Time</v>
      </c>
      <c r="E63" s="6" t="str">
        <v>A</v>
      </c>
      <c r="F63" s="6" t="str">
        <v>B</v>
      </c>
    </row>
    <row r="64" spans="1:10" x14ac:dyDescent="0.3">
      <c r="D64" s="6">
        <v>0</v>
      </c>
      <c r="E64" s="6">
        <v>5.3</v>
      </c>
      <c r="F64" s="6" t="str">
        <v>Foo</v>
      </c>
    </row>
    <row r="65" spans="1:7" x14ac:dyDescent="0.3">
      <c r="D65" s="6">
        <v>1</v>
      </c>
      <c r="E65" s="6">
        <v>2.1</v>
      </c>
      <c r="F65" s="6" t="str">
        <v>Bar</v>
      </c>
    </row>
    <row r="67" spans="1:7" x14ac:dyDescent="0.3">
      <c r="B67" t="b">
        <f t="array" ref="B67">SUM((D67:F68=G59:I60)+0)=6</f>
        <v>1</v>
      </c>
      <c r="D67" s="6" t="str">
        <f t="array" ref="D67:F68">pyTestFrameWrite(J59)</f>
        <v>Time</v>
      </c>
      <c r="E67" s="6" t="str">
        <v>A</v>
      </c>
      <c r="F67" s="6" t="str">
        <v>B</v>
      </c>
    </row>
    <row r="68" spans="1:7" x14ac:dyDescent="0.3">
      <c r="D68" s="6">
        <v>0</v>
      </c>
      <c r="E68" s="6">
        <v>5.3</v>
      </c>
      <c r="F68" s="6" t="str">
        <v>Foo</v>
      </c>
    </row>
    <row r="69" spans="1:7" x14ac:dyDescent="0.3">
      <c r="B69" s="21" t="b">
        <f>AND(B56:B68)</f>
        <v>1</v>
      </c>
    </row>
    <row r="71" spans="1:7" x14ac:dyDescent="0.3">
      <c r="A71" s="2" t="s">
        <v>36</v>
      </c>
      <c r="B71" t="b">
        <f>C71=D71</f>
        <v>1</v>
      </c>
      <c r="C71" s="3">
        <f>G71+1</f>
        <v>42737</v>
      </c>
      <c r="D71" s="7">
        <f>pyTestDate(G71)</f>
        <v>42737</v>
      </c>
      <c r="E71" s="3"/>
      <c r="G71" s="14">
        <v>42736</v>
      </c>
    </row>
    <row r="72" spans="1:7" x14ac:dyDescent="0.3">
      <c r="B72" t="b">
        <f>D72=C72</f>
        <v>1</v>
      </c>
      <c r="C72" s="3">
        <v>42768</v>
      </c>
      <c r="D72" s="7">
        <f>pyTestDate(G72)</f>
        <v>42768</v>
      </c>
      <c r="E72" s="3"/>
      <c r="G72" s="15" t="s">
        <v>37</v>
      </c>
    </row>
    <row r="73" spans="1:7" x14ac:dyDescent="0.3">
      <c r="B73" s="21" t="b">
        <f>AND(B71:B72)</f>
        <v>1</v>
      </c>
    </row>
    <row r="75" spans="1:7" x14ac:dyDescent="0.3">
      <c r="A75" s="2" t="s">
        <v>47</v>
      </c>
      <c r="B75" s="21" t="b">
        <f>E81&lt;&gt;F81</f>
        <v>1</v>
      </c>
      <c r="D75" t="s">
        <v>48</v>
      </c>
      <c r="E75">
        <v>3</v>
      </c>
      <c r="F75">
        <v>1</v>
      </c>
      <c r="G75">
        <v>4</v>
      </c>
    </row>
    <row r="76" spans="1:7" x14ac:dyDescent="0.3">
      <c r="A76" t="s">
        <v>54</v>
      </c>
      <c r="D76" t="s">
        <v>49</v>
      </c>
      <c r="E76">
        <v>3</v>
      </c>
      <c r="F76">
        <v>2</v>
      </c>
      <c r="G76">
        <v>7</v>
      </c>
    </row>
    <row r="77" spans="1:7" x14ac:dyDescent="0.3">
      <c r="D77" t="s">
        <v>50</v>
      </c>
      <c r="E77">
        <v>500</v>
      </c>
      <c r="F77">
        <f>E77</f>
        <v>500</v>
      </c>
      <c r="G77">
        <f>E77</f>
        <v>500</v>
      </c>
    </row>
    <row r="78" spans="1:7" x14ac:dyDescent="0.3">
      <c r="D78" t="s">
        <v>51</v>
      </c>
      <c r="E78">
        <f>E77</f>
        <v>500</v>
      </c>
      <c r="F78">
        <f>E78</f>
        <v>500</v>
      </c>
      <c r="G78">
        <f>E78</f>
        <v>500</v>
      </c>
    </row>
    <row r="79" spans="1:7" x14ac:dyDescent="0.3">
      <c r="D79" t="s">
        <v>52</v>
      </c>
      <c r="E79">
        <f>E78</f>
        <v>500</v>
      </c>
      <c r="F79">
        <f>E79</f>
        <v>500</v>
      </c>
      <c r="G79">
        <f>E79</f>
        <v>500</v>
      </c>
    </row>
    <row r="80" spans="1:7" x14ac:dyDescent="0.3">
      <c r="D80" t="s">
        <v>53</v>
      </c>
      <c r="E80">
        <f>E79</f>
        <v>500</v>
      </c>
      <c r="F80">
        <f>E80</f>
        <v>500</v>
      </c>
      <c r="G80">
        <f>E80</f>
        <v>500</v>
      </c>
    </row>
    <row r="81" spans="1:8" x14ac:dyDescent="0.3">
      <c r="E81" s="6">
        <f>_xll.pyThreadTest(E75,E76,E77,E78,E79,E80)</f>
        <v>11520</v>
      </c>
      <c r="F81" s="6">
        <f>_xll.pyThreadTest(F75,F76,F77,F78,F79,F80)</f>
        <v>29456</v>
      </c>
      <c r="G81" s="6">
        <f>_xll.pyThreadTest(G75,G76,G77,G78,G79,G80)</f>
        <v>33832</v>
      </c>
    </row>
    <row r="84" spans="1:8" x14ac:dyDescent="0.3">
      <c r="A84" s="2" t="s">
        <v>80</v>
      </c>
      <c r="B84" s="21" t="b">
        <f>C84=D85</f>
        <v>1</v>
      </c>
      <c r="C84" t="s">
        <v>56</v>
      </c>
      <c r="D84" t="e" cm="1">
        <f t="array" ref="D84">_xll.xloImport(pyWbPath()&amp;"\TestModule.py", "*")</f>
        <v>#N/A</v>
      </c>
    </row>
    <row r="85" spans="1:8" x14ac:dyDescent="0.3">
      <c r="A85" t="s">
        <v>57</v>
      </c>
      <c r="B85" s="21" t="b">
        <f>C87=D87</f>
        <v>1</v>
      </c>
      <c r="D85" s="6" t="str">
        <f>_xll.pyTestLoadMod()</f>
        <v>Great Success!</v>
      </c>
    </row>
    <row r="86" spans="1:8" x14ac:dyDescent="0.3">
      <c r="D86" t="str" cm="1">
        <f t="array" ref="D86">_xll.pyFooBar(1)</f>
        <v>欣[PythonTest.xlsm]Test 1!R86C4pyFooBar,A</v>
      </c>
    </row>
    <row r="87" spans="1:8" x14ac:dyDescent="0.3">
      <c r="C87">
        <v>16</v>
      </c>
      <c r="D87" cm="1">
        <f t="array" ref="D87">_xll.xloAttr(D86,"xplus",,3,4)</f>
        <v>16</v>
      </c>
    </row>
    <row r="89" spans="1:8" x14ac:dyDescent="0.3">
      <c r="A89" s="2" t="s">
        <v>58</v>
      </c>
      <c r="B89" s="21" t="b">
        <f>AND(D89=F89+1, D90=G89+1, D91=H89+1,D92=F90+1,D93=G90+1)</f>
        <v>1</v>
      </c>
      <c r="D89" s="6">
        <f t="array" ref="D89:D93">pyTestDateConv(F89:H90)</f>
        <v>43001</v>
      </c>
      <c r="F89" s="11">
        <v>43000</v>
      </c>
      <c r="G89" s="11">
        <v>44000</v>
      </c>
      <c r="H89" s="11">
        <v>45000.66</v>
      </c>
    </row>
    <row r="90" spans="1:8" x14ac:dyDescent="0.3">
      <c r="D90" s="6">
        <v>44001</v>
      </c>
      <c r="F90" s="11">
        <f>G89</f>
        <v>44000</v>
      </c>
      <c r="G90" s="11">
        <v>37000</v>
      </c>
      <c r="H90" s="11">
        <f>H89</f>
        <v>45000.66</v>
      </c>
    </row>
    <row r="91" spans="1:8" x14ac:dyDescent="0.3">
      <c r="D91" s="6">
        <v>45001.66</v>
      </c>
    </row>
    <row r="92" spans="1:8" x14ac:dyDescent="0.3">
      <c r="D92" s="6">
        <v>44001</v>
      </c>
    </row>
    <row r="93" spans="1:8" x14ac:dyDescent="0.3">
      <c r="D93" s="6">
        <v>37001</v>
      </c>
    </row>
    <row r="95" spans="1:8" x14ac:dyDescent="0.3">
      <c r="A95" s="2" t="s">
        <v>60</v>
      </c>
      <c r="B95" s="21" t="b">
        <f>C95:C96=D95:D96</f>
        <v>1</v>
      </c>
      <c r="C95">
        <v>0</v>
      </c>
      <c r="D95" s="6">
        <f>pyTestDynamic0()</f>
        <v>0</v>
      </c>
    </row>
    <row r="96" spans="1:8" x14ac:dyDescent="0.3">
      <c r="C96">
        <v>2</v>
      </c>
      <c r="D96" s="6">
        <f>pyTestDynamic2()</f>
        <v>2</v>
      </c>
    </row>
    <row r="98" spans="1:4" x14ac:dyDescent="0.3">
      <c r="A98" s="2" t="s">
        <v>61</v>
      </c>
      <c r="B98" s="21" t="b">
        <f>C98=D98</f>
        <v>1</v>
      </c>
      <c r="C98" t="str">
        <f>pyTestWorkbooks()</f>
        <v>PythonTest.xlsm</v>
      </c>
      <c r="D98" s="6" t="str">
        <f>pyTestWorkbooks()</f>
        <v>PythonTest.xlsm</v>
      </c>
    </row>
    <row r="100" spans="1:4" x14ac:dyDescent="0.3">
      <c r="A100" s="2" t="s">
        <v>64</v>
      </c>
      <c r="B100" s="21" t="b">
        <f>C100=D100</f>
        <v>1</v>
      </c>
      <c r="C100">
        <v>6</v>
      </c>
      <c r="D100" s="6">
        <f>pyTestExcelCall("sum",1,2,3)</f>
        <v>6</v>
      </c>
    </row>
    <row r="103" spans="1:4" x14ac:dyDescent="0.3">
      <c r="A103" s="2" t="s">
        <v>65</v>
      </c>
      <c r="B103" t="b">
        <f ca="1">C103=D103</f>
        <v>1</v>
      </c>
      <c r="C103" t="str">
        <f ca="1">"="&amp;SUBSTITUTE(CELL("address",C100)&amp;"="&amp;CELL("address",D100),"$","")</f>
        <v>=C100=D100</v>
      </c>
      <c r="D103" s="6" t="str">
        <f>pyTestExcelCall("getcell",6,Test_ExcelCall)</f>
        <v>=C100=D100</v>
      </c>
    </row>
    <row r="104" spans="1:4" x14ac:dyDescent="0.3">
      <c r="B104" t="b">
        <f ca="1">C104=D104</f>
        <v>1</v>
      </c>
      <c r="C104" t="str">
        <f ca="1">C103</f>
        <v>=C100=D100</v>
      </c>
      <c r="D104" s="6" t="str">
        <f ca="1">_xll.pyTestRangeFormula2(Test_ExcelCall)</f>
        <v>=C100=D100</v>
      </c>
    </row>
    <row r="105" spans="1:4" x14ac:dyDescent="0.3">
      <c r="B105" t="b">
        <f ca="1">C105=D105</f>
        <v>1</v>
      </c>
      <c r="C105" t="str">
        <f ca="1">C104</f>
        <v>=C100=D100</v>
      </c>
      <c r="D105" s="6" t="str">
        <f>pyTestRangeFormula(Test_ExcelCall)</f>
        <v>=C100=D100</v>
      </c>
    </row>
    <row r="106" spans="1:4" x14ac:dyDescent="0.3">
      <c r="B106" s="21" t="b">
        <f ca="1">AND(B103:B105)</f>
        <v>1</v>
      </c>
    </row>
    <row r="108" spans="1:4" x14ac:dyDescent="0.3">
      <c r="A108" s="2" t="s">
        <v>66</v>
      </c>
      <c r="B108" t="b">
        <f>C108=D108</f>
        <v>1</v>
      </c>
      <c r="C108" t="str">
        <f>C98</f>
        <v>PythonTest.xlsm</v>
      </c>
      <c r="D108" s="6" t="str">
        <f>pyTestAppRun("pyTestWorkbooks")</f>
        <v>PythonTest.xlsm</v>
      </c>
    </row>
    <row r="109" spans="1:4" x14ac:dyDescent="0.3">
      <c r="B109" t="b">
        <f>C109=D109</f>
        <v>1</v>
      </c>
      <c r="C109">
        <v>6</v>
      </c>
      <c r="D109" s="6">
        <f>pyTestAppRun("pySum",1,2,3)</f>
        <v>6</v>
      </c>
    </row>
    <row r="110" spans="1:4" x14ac:dyDescent="0.3">
      <c r="B110" t="b">
        <f ca="1">C110=SUBSTITUTE(D110, "'","")</f>
        <v>1</v>
      </c>
      <c r="C110" t="str">
        <f ca="1">MID(CELL("filename"),FIND("[",CELL("filename")),100)&amp;"!"&amp;ADDRESS(ROW(E109),COLUMN(E109),4)</f>
        <v>[PythonTest.xlsm]Test 1!E109</v>
      </c>
      <c r="D110" s="6" t="str">
        <f>pyTestAppRun("pyTestRange", D108)</f>
        <v>'[PythonTest.xlsm]Test 1'!E109</v>
      </c>
    </row>
    <row r="111" spans="1:4" x14ac:dyDescent="0.3">
      <c r="B111" s="21" t="b">
        <f ca="1">AND(B108:B110)</f>
        <v>1</v>
      </c>
    </row>
  </sheetData>
  <conditionalFormatting sqref="B8:B11 B14:B19 B21:B23 B25 B31:B33 B55:B60 B44:B53 B83 B74 B76:B81 B90:B94 B96:B97 B99 B27:B29 B35:B37 B40:B41">
    <cfRule type="expression" dxfId="23" priority="24">
      <formula>IFERROR(NOT(OR(ISBLANK(B8),B8)),TRUE)</formula>
    </cfRule>
  </conditionalFormatting>
  <conditionalFormatting sqref="B3">
    <cfRule type="expression" dxfId="22" priority="20">
      <formula>IFERROR(NOT(OR(ISBLANK(B3),B3)),TRUE)</formula>
    </cfRule>
  </conditionalFormatting>
  <conditionalFormatting sqref="B4:B6">
    <cfRule type="expression" dxfId="21" priority="19">
      <formula>IFERROR(NOT(OR(ISBLANK(B4),B4)),TRUE)</formula>
    </cfRule>
  </conditionalFormatting>
  <conditionalFormatting sqref="B61:B68 B70:B72">
    <cfRule type="expression" dxfId="20" priority="18">
      <formula>IFERROR(NOT(OR(ISBLANK(B61),B61)),TRUE)</formula>
    </cfRule>
  </conditionalFormatting>
  <conditionalFormatting sqref="B103:B105">
    <cfRule type="expression" dxfId="19" priority="17">
      <formula>IFERROR(NOT(OR(ISBLANK(B103),B103)),TRUE)</formula>
    </cfRule>
  </conditionalFormatting>
  <conditionalFormatting sqref="B108:B109">
    <cfRule type="expression" dxfId="18" priority="16">
      <formula>IFERROR(NOT(OR(ISBLANK(B108),B108)),TRUE)</formula>
    </cfRule>
  </conditionalFormatting>
  <conditionalFormatting sqref="B110">
    <cfRule type="expression" dxfId="17" priority="13">
      <formula>IFERROR(NOT(OR(ISBLANK(B110),B110)),TRUE)</formula>
    </cfRule>
  </conditionalFormatting>
  <conditionalFormatting sqref="B54">
    <cfRule type="expression" dxfId="16" priority="12">
      <formula>IFERROR(NOT(OR(ISBLANK(B54),B54)),TRUE)</formula>
    </cfRule>
  </conditionalFormatting>
  <conditionalFormatting sqref="B69">
    <cfRule type="expression" dxfId="15" priority="11">
      <formula>IFERROR(NOT(OR(ISBLANK(B69),B69)),TRUE)</formula>
    </cfRule>
  </conditionalFormatting>
  <conditionalFormatting sqref="B73">
    <cfRule type="expression" dxfId="14" priority="10">
      <formula>IFERROR(NOT(OR(ISBLANK(B73),B73)),TRUE)</formula>
    </cfRule>
  </conditionalFormatting>
  <conditionalFormatting sqref="B75">
    <cfRule type="expression" dxfId="13" priority="9">
      <formula>IFERROR(NOT(OR(ISBLANK(B75),B75)),TRUE)</formula>
    </cfRule>
  </conditionalFormatting>
  <conditionalFormatting sqref="B84:B85">
    <cfRule type="expression" dxfId="12" priority="8">
      <formula>IFERROR(NOT(OR(ISBLANK(B84),B84)),TRUE)</formula>
    </cfRule>
  </conditionalFormatting>
  <conditionalFormatting sqref="B89">
    <cfRule type="expression" dxfId="11" priority="7">
      <formula>IFERROR(NOT(OR(ISBLANK(B89),B89)),TRUE)</formula>
    </cfRule>
  </conditionalFormatting>
  <conditionalFormatting sqref="B95">
    <cfRule type="expression" dxfId="10" priority="6">
      <formula>IFERROR(NOT(OR(ISBLANK(B95),B95)),TRUE)</formula>
    </cfRule>
  </conditionalFormatting>
  <conditionalFormatting sqref="B98">
    <cfRule type="expression" dxfId="9" priority="5">
      <formula>IFERROR(NOT(OR(ISBLANK(B98),B98)),TRUE)</formula>
    </cfRule>
  </conditionalFormatting>
  <conditionalFormatting sqref="B100">
    <cfRule type="expression" dxfId="8" priority="4">
      <formula>IFERROR(NOT(OR(ISBLANK(B100),B100)),TRUE)</formula>
    </cfRule>
  </conditionalFormatting>
  <conditionalFormatting sqref="B106">
    <cfRule type="expression" dxfId="7" priority="3">
      <formula>IFERROR(NOT(OR(ISBLANK(B106),B106)),TRUE)</formula>
    </cfRule>
  </conditionalFormatting>
  <conditionalFormatting sqref="B111">
    <cfRule type="expression" dxfId="6" priority="1">
      <formula>IFERROR(NOT(OR(ISBLANK(B111),B111)),TRUE)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yPressRunTests">
                <anchor moveWithCells="1" sizeWithCells="1">
                  <from>
                    <xdr:col>4</xdr:col>
                    <xdr:colOff>220980</xdr:colOff>
                    <xdr:row>0</xdr:row>
                    <xdr:rowOff>137160</xdr:rowOff>
                  </from>
                  <to>
                    <xdr:col>5</xdr:col>
                    <xdr:colOff>822960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38F86-C00C-4DA9-94A5-1B12D8E6AC35}">
  <sheetPr codeName="Sheet4"/>
  <dimension ref="A1:I20"/>
  <sheetViews>
    <sheetView showGridLines="0" workbookViewId="0">
      <selection activeCell="D21" sqref="D21"/>
    </sheetView>
  </sheetViews>
  <sheetFormatPr defaultRowHeight="14.4" x14ac:dyDescent="0.3"/>
  <cols>
    <col min="1" max="1" width="26" customWidth="1"/>
    <col min="2" max="2" width="8.6640625" customWidth="1"/>
    <col min="3" max="3" width="37.6640625" customWidth="1"/>
    <col min="4" max="4" width="34" customWidth="1"/>
  </cols>
  <sheetData>
    <row r="1" spans="1:9" x14ac:dyDescent="0.3">
      <c r="A1" t="s">
        <v>81</v>
      </c>
      <c r="C1" s="4" t="s">
        <v>74</v>
      </c>
      <c r="D1" s="26" t="e">
        <f ca="1">pyTestAsyncGen(2)</f>
        <v>#NAME?</v>
      </c>
    </row>
    <row r="3" spans="1:9" x14ac:dyDescent="0.3">
      <c r="A3" s="17" t="s">
        <v>75</v>
      </c>
      <c r="B3" t="e">
        <f ca="1">AND(B6:B22)</f>
        <v>#NAME?</v>
      </c>
    </row>
    <row r="4" spans="1:9" x14ac:dyDescent="0.3">
      <c r="A4" s="17"/>
    </row>
    <row r="5" spans="1:9" x14ac:dyDescent="0.3">
      <c r="A5" s="1" t="s">
        <v>38</v>
      </c>
      <c r="B5" s="1" t="s">
        <v>2</v>
      </c>
      <c r="C5" s="1" t="s">
        <v>13</v>
      </c>
      <c r="D5" s="1" t="s">
        <v>14</v>
      </c>
      <c r="E5" s="1"/>
      <c r="G5" s="1" t="s">
        <v>16</v>
      </c>
    </row>
    <row r="6" spans="1:9" x14ac:dyDescent="0.3">
      <c r="A6" s="2" t="s">
        <v>73</v>
      </c>
      <c r="B6" t="b">
        <f>C6=SUBSTITUTE(D6, "'","")</f>
        <v>1</v>
      </c>
      <c r="C6" s="4" t="str">
        <f>"[PythonTest.xlsm]RTD!R"&amp;ROW(D6)&amp;"C"&amp;COLUMN(D6)</f>
        <v>[PythonTest.xlsm]RTD!R6C4</v>
      </c>
      <c r="D6" s="8" t="str">
        <f>pyTestCaller()</f>
        <v>'[PythonTest.xlsm]RTD'!R6C4</v>
      </c>
    </row>
    <row r="7" spans="1:9" x14ac:dyDescent="0.3">
      <c r="B7" t="b">
        <f>C7=SUBSTITUTE(D7, "'","")</f>
        <v>1</v>
      </c>
      <c r="C7" s="4" t="str">
        <f>"[PythonTest.xlsm]RTD!R"&amp;ROW(D7)&amp;"C"&amp;COLUMN(D7)</f>
        <v>[PythonTest.xlsm]RTD!R7C4</v>
      </c>
      <c r="D7" s="8" t="str">
        <f>pyTestCaller()</f>
        <v>'[PythonTest.xlsm]RTD'!R7C4</v>
      </c>
    </row>
    <row r="9" spans="1:9" x14ac:dyDescent="0.3">
      <c r="A9" s="2" t="s">
        <v>72</v>
      </c>
      <c r="B9" t="e">
        <f ca="1">C9=D9</f>
        <v>#NAME?</v>
      </c>
      <c r="C9">
        <v>6</v>
      </c>
      <c r="D9" s="8" t="e">
        <f ca="1">pyTestExcelCallAsync(1,2,3)</f>
        <v>#NAME?</v>
      </c>
    </row>
    <row r="11" spans="1:9" x14ac:dyDescent="0.3">
      <c r="A11" s="2" t="s">
        <v>69</v>
      </c>
      <c r="B11" t="e">
        <f ca="1">C11=D11</f>
        <v>#NAME?</v>
      </c>
      <c r="C11">
        <v>6</v>
      </c>
      <c r="D11" s="8" t="e">
        <f ca="1">pyRtdArray(G11:I11)</f>
        <v>#NAME?</v>
      </c>
      <c r="G11" s="25">
        <v>1</v>
      </c>
      <c r="H11" s="25">
        <v>2</v>
      </c>
      <c r="I11" s="25">
        <v>3</v>
      </c>
    </row>
    <row r="12" spans="1:9" x14ac:dyDescent="0.3">
      <c r="A12" s="2" t="s">
        <v>70</v>
      </c>
      <c r="B12" t="b">
        <f ca="1">NOT(ISNA(D12))</f>
        <v>1</v>
      </c>
      <c r="D12" s="8" t="e">
        <f ca="1">pyTestRtdManual(2)</f>
        <v>#NAME?</v>
      </c>
    </row>
    <row r="15" spans="1:9" x14ac:dyDescent="0.3">
      <c r="A15" s="2" t="s">
        <v>44</v>
      </c>
      <c r="C15" s="10" t="e">
        <f ca="1">_xll.pyGetUrl(D15)</f>
        <v>#VALUE!</v>
      </c>
      <c r="D15" t="s">
        <v>42</v>
      </c>
    </row>
    <row r="16" spans="1:9" x14ac:dyDescent="0.3">
      <c r="C16" s="10" t="e">
        <f ca="1">_xll.pyGetUrl(D16)</f>
        <v>#VALUE!</v>
      </c>
      <c r="D16" t="s">
        <v>43</v>
      </c>
    </row>
    <row r="17" spans="1:7" x14ac:dyDescent="0.3">
      <c r="A17" s="2" t="s">
        <v>46</v>
      </c>
      <c r="C17" s="10" t="e">
        <f ca="1">_xll.pyGetUrlLive(D17)</f>
        <v>#NAME?</v>
      </c>
      <c r="D17" s="16" t="s">
        <v>45</v>
      </c>
    </row>
    <row r="19" spans="1:7" x14ac:dyDescent="0.3">
      <c r="A19" s="2" t="s">
        <v>22</v>
      </c>
      <c r="B19" t="e">
        <f ca="1">C19=D19</f>
        <v>#NAME?</v>
      </c>
      <c r="C19" t="str">
        <f>G19</f>
        <v>foo</v>
      </c>
      <c r="D19" s="8" t="e">
        <f ca="1">pyTestAsync(G19,1)</f>
        <v>#NAME?</v>
      </c>
      <c r="E19" s="10"/>
      <c r="G19" s="11" t="s">
        <v>23</v>
      </c>
    </row>
    <row r="20" spans="1:7" x14ac:dyDescent="0.3">
      <c r="A20" s="2" t="s">
        <v>41</v>
      </c>
      <c r="B20" t="e">
        <f ca="1">C20=D20</f>
        <v>#NAME?</v>
      </c>
      <c r="C20" t="str">
        <f>C19</f>
        <v>foo</v>
      </c>
      <c r="D20" s="8" t="e">
        <f ca="1">pyTestAsyncRtd(G19,1)</f>
        <v>#NAME?</v>
      </c>
    </row>
  </sheetData>
  <conditionalFormatting sqref="B9">
    <cfRule type="expression" dxfId="5" priority="6">
      <formula>IFERROR(NOT(OR(ISBLANK(B9),B9)),TRUE)</formula>
    </cfRule>
  </conditionalFormatting>
  <conditionalFormatting sqref="B6">
    <cfRule type="expression" dxfId="4" priority="5">
      <formula>IFERROR(NOT(OR(ISBLANK(B6),B6)),TRUE)</formula>
    </cfRule>
  </conditionalFormatting>
  <conditionalFormatting sqref="B7">
    <cfRule type="expression" dxfId="3" priority="4">
      <formula>IFERROR(NOT(OR(ISBLANK(B7),B7)),TRUE)</formula>
    </cfRule>
  </conditionalFormatting>
  <conditionalFormatting sqref="B15:B17">
    <cfRule type="expression" dxfId="2" priority="3">
      <formula>IFERROR(NOT(OR(ISBLANK(B15),B15)),TRUE)</formula>
    </cfRule>
  </conditionalFormatting>
  <conditionalFormatting sqref="B11:B12">
    <cfRule type="expression" dxfId="1" priority="2">
      <formula>IFERROR(NOT(OR(ISBLANK(B11),B11)),TRUE)</formula>
    </cfRule>
  </conditionalFormatting>
  <conditionalFormatting sqref="B19:B20">
    <cfRule type="expression" dxfId="0" priority="1">
      <formula>IFERROR(NOT(OR(ISBLANK(B19),B19)),TRUE)</formula>
    </cfRule>
  </conditionalFormatting>
  <hyperlinks>
    <hyperlink ref="D17" r:id="rId1" xr:uid="{A15C8238-108A-441A-953F-6F26ED6EC331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D839A-BC1C-46EA-B0A5-B109F94CF562}">
  <sheetPr codeName="Sheet5"/>
  <dimension ref="A1:B1"/>
  <sheetViews>
    <sheetView workbookViewId="0">
      <selection activeCell="D7" sqref="D7"/>
    </sheetView>
  </sheetViews>
  <sheetFormatPr defaultRowHeight="14.4" x14ac:dyDescent="0.3"/>
  <sheetData>
    <row r="1" spans="1:2" x14ac:dyDescent="0.3">
      <c r="A1" t="s">
        <v>77</v>
      </c>
      <c r="B1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21</vt:i4>
      </vt:variant>
    </vt:vector>
  </HeadingPairs>
  <TitlesOfParts>
    <vt:vector size="24" baseType="lpstr">
      <vt:lpstr>Test 1</vt:lpstr>
      <vt:lpstr>RTD</vt:lpstr>
      <vt:lpstr>{Settings}</vt:lpstr>
      <vt:lpstr>Settings_Wait</vt:lpstr>
      <vt:lpstr>Test_AppRun</vt:lpstr>
      <vt:lpstr>Test_Array1d</vt:lpstr>
      <vt:lpstr>Test_Array2d</vt:lpstr>
      <vt:lpstr>Test_Cache</vt:lpstr>
      <vt:lpstr>Test_ComBasic</vt:lpstr>
      <vt:lpstr>Test_CustomConverter</vt:lpstr>
      <vt:lpstr>Test_Dataframe</vt:lpstr>
      <vt:lpstr>Test_Date</vt:lpstr>
      <vt:lpstr>Test_DateConversion</vt:lpstr>
      <vt:lpstr>Test_DynamicRegistration</vt:lpstr>
      <vt:lpstr>Test_ExcelCall</vt:lpstr>
      <vt:lpstr>Test_ExternalLoad</vt:lpstr>
      <vt:lpstr>Test_GetFormula</vt:lpstr>
      <vt:lpstr>Test_IteratorReturn</vt:lpstr>
      <vt:lpstr>Test_Kwargs</vt:lpstr>
      <vt:lpstr>Test_RoundTrip</vt:lpstr>
      <vt:lpstr>Test_Sum</vt:lpstr>
      <vt:lpstr>Test_Threaded</vt:lpstr>
      <vt:lpstr>Test_WorkbooksObject</vt:lpstr>
      <vt:lpstr>'Test 1'!TestArea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2015-06-05T18:17:20Z</dcterms:created>
  <dcterms:modified xsi:type="dcterms:W3CDTF">2023-01-25T22:43:44Z</dcterms:modified>
</cp:coreProperties>
</file>