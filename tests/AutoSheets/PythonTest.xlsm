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DD2C78B9-91EA-40F5-B581-B8CB92CC7628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1'!$B$126</definedName>
    <definedName name="Test_Array1d">'Test 1'!$B$25</definedName>
    <definedName name="Test_Array2d">'Test 1'!$B$31</definedName>
    <definedName name="Test_Cache">'Test 1'!$B$43</definedName>
    <definedName name="Test_ComBasic">'Test 1'!$B$48</definedName>
    <definedName name="Test_CustomConverter">'Test 1'!$B$55</definedName>
    <definedName name="Test_Dataframe">'Test 1'!$B$84</definedName>
    <definedName name="Test_Date">'Test 1'!$B$88</definedName>
    <definedName name="Test_DateConversion">'Test 1'!$B$104</definedName>
    <definedName name="Test_DynamicRegistration">'Test 1'!$B$110</definedName>
    <definedName name="Test_ExcelCall">'Test 1'!$B$115</definedName>
    <definedName name="Test_ExternalLoad">'Test 1'!$B$99</definedName>
    <definedName name="Test_GetFormula">'Test 1'!$B$121</definedName>
    <definedName name="Test_IteratorReturn">'Test 1'!$B$46</definedName>
    <definedName name="Test_Kwargs">'Test 1'!$B$35</definedName>
    <definedName name="Test_RoundTrip">'Test 1'!$B$21</definedName>
    <definedName name="Test_Sum">'Test 1'!$B$12</definedName>
    <definedName name="Test_Threaded">'Test 1'!$B$90</definedName>
    <definedName name="Test_WorkbooksObject">'Test 1'!$B$113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C37" i="1"/>
  <c r="C38" i="1"/>
  <c r="C125" i="1"/>
  <c r="C118" i="1"/>
  <c r="D101" i="1" a="1"/>
  <c r="D100" i="1"/>
  <c r="D123" i="1"/>
  <c r="D19" i="1" a="1"/>
  <c r="D30" i="1"/>
  <c r="D38" i="1" a="1"/>
  <c r="D99" i="1" a="1"/>
  <c r="K60" i="1"/>
  <c r="D118" i="1"/>
  <c r="D69" i="1" a="1"/>
  <c r="D18" i="1"/>
  <c r="D120" i="1"/>
  <c r="D119" i="1"/>
  <c r="D37" i="1" a="1"/>
  <c r="D33" i="1" a="1"/>
  <c r="D74" i="1" a="1"/>
  <c r="D19" i="1" l="1"/>
  <c r="C19" i="1" s="1" a="1"/>
  <c r="C19" i="1" s="1"/>
  <c r="B19" i="1" s="1"/>
  <c r="B74" i="1" a="1"/>
  <c r="B74" i="1" s="1"/>
  <c r="D74" i="1"/>
  <c r="D69" i="1"/>
  <c r="B70" i="1" s="1" a="1"/>
  <c r="B70" i="1" s="1"/>
  <c r="D101" i="1"/>
  <c r="D99" i="1"/>
  <c r="D33" i="1"/>
  <c r="D34" i="1"/>
  <c r="E33" i="1"/>
  <c r="E34" i="1"/>
  <c r="D38" i="1"/>
  <c r="B38" i="1" s="1"/>
  <c r="D37" i="1"/>
  <c r="B37" i="1" s="1"/>
  <c r="B118" i="1"/>
  <c r="D102" i="1" a="1"/>
  <c r="D65" i="1" a="1"/>
  <c r="D60" i="1"/>
  <c r="B65" i="1" l="1" a="1"/>
  <c r="B65" i="1" s="1"/>
  <c r="D65" i="1"/>
  <c r="D102" i="1"/>
  <c r="B100" i="1" s="1"/>
  <c r="B39" i="1"/>
  <c r="B4" i="1"/>
  <c r="D125" i="1"/>
  <c r="C119" i="1" l="1"/>
  <c r="C120" i="1" s="1"/>
  <c r="D110" i="1"/>
  <c r="D111" i="1"/>
  <c r="D14" i="1"/>
  <c r="D124" i="1"/>
  <c r="D115" i="1"/>
  <c r="D113" i="1"/>
  <c r="C113" i="1"/>
  <c r="B125" i="1" l="1"/>
  <c r="C123" i="1"/>
  <c r="B123" i="1" s="1"/>
  <c r="B124" i="1"/>
  <c r="B120" i="1"/>
  <c r="B119" i="1"/>
  <c r="B115" i="1"/>
  <c r="B113" i="1"/>
  <c r="B110" i="1"/>
  <c r="C42" i="1"/>
  <c r="C50" i="1"/>
  <c r="D42" i="1"/>
  <c r="B126" i="1" l="1"/>
  <c r="B121" i="1"/>
  <c r="B42" i="1"/>
  <c r="H105" i="1"/>
  <c r="F105" i="1"/>
  <c r="D104" i="1" a="1"/>
  <c r="D106" i="1" l="1"/>
  <c r="D107" i="1"/>
  <c r="D108" i="1"/>
  <c r="D104" i="1"/>
  <c r="D105" i="1"/>
  <c r="B104" i="1" l="1"/>
  <c r="B34" i="1"/>
  <c r="B33" i="1"/>
  <c r="E93" i="1"/>
  <c r="F93" i="1" s="1"/>
  <c r="G92" i="1"/>
  <c r="F92" i="1"/>
  <c r="B35" i="1" l="1"/>
  <c r="E94" i="1"/>
  <c r="F94" i="1" s="1"/>
  <c r="G93" i="1"/>
  <c r="G94" i="1" l="1"/>
  <c r="E95" i="1"/>
  <c r="D50" i="1"/>
  <c r="B50" i="1" l="1"/>
  <c r="F95" i="1"/>
  <c r="F96" i="1" s="1"/>
  <c r="G95" i="1"/>
  <c r="G96" i="1" s="1"/>
  <c r="C86" i="1"/>
  <c r="E96" i="1"/>
  <c r="D87" i="1"/>
  <c r="D11" i="1"/>
  <c r="B90" i="1" l="1"/>
  <c r="B87" i="1"/>
  <c r="D86" i="1"/>
  <c r="D8" i="1"/>
  <c r="B86" i="1" l="1"/>
  <c r="B88" i="1" s="1"/>
  <c r="C62" i="1"/>
  <c r="C61" i="1"/>
  <c r="C60" i="1"/>
  <c r="C57" i="1"/>
  <c r="C54" i="1"/>
  <c r="C28" i="1"/>
  <c r="C29" i="1" s="1"/>
  <c r="C30" i="1" s="1"/>
  <c r="B30" i="1" s="1"/>
  <c r="C23" i="1" a="1"/>
  <c r="C23" i="1" s="1"/>
  <c r="C18" i="1"/>
  <c r="C17" i="1"/>
  <c r="C20" i="1" s="1"/>
  <c r="D16" i="1"/>
  <c r="G41" i="1"/>
  <c r="D10" i="1"/>
  <c r="D53" i="1"/>
  <c r="D29" i="1"/>
  <c r="D54" i="1"/>
  <c r="D48" i="1"/>
  <c r="D9" i="1"/>
  <c r="D46" i="1"/>
  <c r="D28" i="1"/>
  <c r="D20" i="1"/>
  <c r="D15" i="1"/>
  <c r="J57" i="1"/>
  <c r="D24" i="1"/>
  <c r="C11" i="1"/>
  <c r="D23" i="1"/>
  <c r="D17" i="1"/>
  <c r="B48" i="1" l="1"/>
  <c r="B11" i="1"/>
  <c r="B46" i="1"/>
  <c r="B28" i="1"/>
  <c r="B10" i="1"/>
  <c r="B17" i="1"/>
  <c r="B53" i="1"/>
  <c r="B14" i="1"/>
  <c r="B15" i="1"/>
  <c r="B8" i="1"/>
  <c r="B18" i="1"/>
  <c r="B9" i="1"/>
  <c r="B16" i="1"/>
  <c r="B24" i="1"/>
  <c r="B54" i="1"/>
  <c r="B23" i="1"/>
  <c r="B20" i="1"/>
  <c r="B29" i="1"/>
  <c r="D41" i="1"/>
  <c r="D57" i="1"/>
  <c r="D61" i="1" a="1"/>
  <c r="D82" i="1" a="1"/>
  <c r="B55" i="1" l="1"/>
  <c r="B31" i="1"/>
  <c r="B25" i="1"/>
  <c r="B21" i="1"/>
  <c r="B12" i="1"/>
  <c r="F82" i="1"/>
  <c r="E83" i="1"/>
  <c r="F83" i="1"/>
  <c r="E82" i="1"/>
  <c r="D83" i="1"/>
  <c r="D82" i="1"/>
  <c r="B57" i="1"/>
  <c r="D61" i="1"/>
  <c r="B61" i="1" s="1"/>
  <c r="D62" i="1"/>
  <c r="B62" i="1" s="1"/>
  <c r="B60" i="1"/>
  <c r="B41" i="1"/>
  <c r="B43" i="1" s="1"/>
  <c r="B82" i="1" l="1" a="1"/>
  <c r="B82" i="1" s="1"/>
  <c r="B84" i="1" s="1"/>
  <c r="B99" i="1" l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<sst xmlns="http://schemas.openxmlformats.org/spreadsheetml/2006/main" count="100" uniqueCount="81">
  <si>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</si>
  <si>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</si>
  <si>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</si>
  <si>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</si>
  <si>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</si>
  <si>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</si>
  <si>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</si>
  <si>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</si>
  <si>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</si>
  <si>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</si>
  <si>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</si>
  <si>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</si>
  <si>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</si>
  <si>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</si>
  <si>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</si>
  <si>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</si>
  <si>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</si>
  <si>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</si>
  <si>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</si>
  <si>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</si>
  <si>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</si>
  <si>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</si>
  <si>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</si>
  <si>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</si>
  <si>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</si>
  <si>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</si>
  <si>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</si>
  <si>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</si>
  <si>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</si>
  <si>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</si>
  <si>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</si>
  <si>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</si>
  <si>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</si>
  <si>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</si>
  <si>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</si>
  <si>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</si>
  <si>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</si>
  <si>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</si>
  <si>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</si>
  <si>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</si>
  <si>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</si>
  <si>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</si>
  <si>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</si>
  <si>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</si>
  <si>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</si>
  <si>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</si>
  <si>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</si>
  <si>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</si>
  <si>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</si>
  <si>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</si>
  <si>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</si>
  <si>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</si>
  <si>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</si>
  <si>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</si>
  <si>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</si>
  <si>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</si>
  <si>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</si>
  <si>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</si>
  <si>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</si>
  <si>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</si>
  <si>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</si>
  <si>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</si>
  <si>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</si>
  <si>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</si>
  <si>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</si>
  <si>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</si>
  <si>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</si>
  <si>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</si>
  <si>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</si>
  <si>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</si>
  <si>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Category</t>
  </si>
  <si>
    <t>Clock</t>
  </si>
  <si>
    <t>Type</t>
  </si>
  <si>
    <t>numbers</t>
  </si>
  <si>
    <t>dates</t>
  </si>
  <si>
    <t>objects</t>
  </si>
  <si>
    <t>&lt;class 'int'&gt;</t>
  </si>
  <si>
    <t>pyTestDFrameNaNs</t>
  </si>
  <si>
    <t>Ham</t>
  </si>
  <si>
    <t>pyRoundTrip:mixed-type array</t>
  </si>
  <si>
    <t>Calc finished at: 2023-08-30 00:06:19.580833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</si>
</sst>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165" fontId="0" fillId="3" borderId="0" xfId="0" applyNumberFormat="1" applyFill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26"/>
  <sheetViews>
    <sheetView showGridLines="0" tabSelected="1" workbookViewId="0">
      <selection activeCell="F10" sqref="F10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  <col min="12" max="12" width="10.6640625" customWidth="1"/>
  </cols>
  <sheetData>
    <row r="1" spans="1:11" x14ac:dyDescent="0.3">
      <c r="A1" s="5" t="s">
        <v>80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e">
        <f ca="1">AND(B8:B218)</f>
        <v>#VALUE!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  <c r="G14" s="10">
        <v>1</v>
      </c>
      <c r="H14" s="10">
        <v>2</v>
      </c>
      <c r="I14" s="10"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  <c r="G16" s="10">
        <v>1</v>
      </c>
      <c r="H16" s="10" t="s">
        <v>78</v>
      </c>
      <c r="I16" s="10" t="b">
        <v>1</v>
      </c>
    </row>
    <row r="17" spans="1:10" x14ac:dyDescent="0.3">
      <c r="A17" s="2" t="s">
        <v>8</v>
      </c>
      <c r="B17" t="b">
        <f>C17=D17</f>
        <v>1</v>
      </c>
      <c r="C17">
        <f>SUM(G14:I14)</f>
        <v>6</v>
      </c>
      <c r="D17" s="6">
        <f>SUM(pyRoundTrip(G14:I14))</f>
        <v>6</v>
      </c>
      <c r="G17" s="10" t="e">
        <f>NA()</f>
        <v>#N/A</v>
      </c>
      <c r="H17" s="10">
        <v>2.4</v>
      </c>
      <c r="I17" s="10"/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(pyRoundTrip(G19:I19))</f>
        <v>#N/A</v>
      </c>
    </row>
    <row r="19" spans="1:10" x14ac:dyDescent="0.3">
      <c r="A19" s="2" t="s">
        <v>79</v>
      </c>
      <c r="B19" t="b">
        <f>C19</f>
        <v>1</v>
      </c>
      <c r="C19" t="b" cm="1">
        <f t="array" ref="C19">SUM(IFERROR(_xll.xloVal(D19)=G16:I17,TRUE)+0)=6</f>
        <v>1</v>
      </c>
      <c r="D19" s="6" t="str" cm="1">
        <f t="array" ref="D19">_xll.xloRef(pyRoundTrip(G16:I17))</f>
        <v>永[PythonTest.xlsm]Test 1!R19C4,A</v>
      </c>
      <c r="G19" s="10"/>
      <c r="H19" s="10"/>
      <c r="I19" s="10"/>
    </row>
    <row r="20" spans="1:10" x14ac:dyDescent="0.3">
      <c r="A20" s="2" t="s">
        <v>24</v>
      </c>
      <c r="B20" t="b">
        <f>C20=D20</f>
        <v>1</v>
      </c>
      <c r="C20">
        <f>C17</f>
        <v>6</v>
      </c>
      <c r="D20" s="6">
        <f>SUM(pyRoundTrip(_xll.xloRef(G14:I14)))</f>
        <v>6</v>
      </c>
    </row>
    <row r="21" spans="1:10" x14ac:dyDescent="0.3">
      <c r="A21" s="2"/>
      <c r="B21" s="19" t="b">
        <f>AND(B14:B20)</f>
        <v>1</v>
      </c>
    </row>
    <row r="23" spans="1:10" x14ac:dyDescent="0.3">
      <c r="A23" s="2" t="s">
        <v>10</v>
      </c>
      <c r="B23" t="b">
        <f>C23=D23</f>
        <v>1</v>
      </c>
      <c r="C23">
        <f t="array" ref="C23">SUM(H23:J23*G23)</f>
        <v>18.600000000000001</v>
      </c>
      <c r="D23" s="6">
        <f>SUM(pyTestArr1d(H23:J23,G23))</f>
        <v>18.600000000000001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A24" s="2" t="s">
        <v>11</v>
      </c>
      <c r="B24" t="b">
        <f>NOT(ISERROR(FIND("Error",D24)))</f>
        <v>1</v>
      </c>
      <c r="C24" t="s">
        <v>15</v>
      </c>
      <c r="D24" s="6" t="str">
        <f>pyTestArr1d(H24:J25,G24)</f>
        <v>Error in arg 1 'x': Failed reading [2 x 3]: Expecting a 1-dim array</v>
      </c>
      <c r="G24" s="10">
        <v>3.1</v>
      </c>
      <c r="H24" s="10">
        <v>1</v>
      </c>
      <c r="I24" s="10">
        <v>2</v>
      </c>
      <c r="J24" s="10">
        <v>3</v>
      </c>
    </row>
    <row r="25" spans="1:10" x14ac:dyDescent="0.3">
      <c r="B25" s="19" t="b">
        <f>AND(B23:B24)</f>
        <v>1</v>
      </c>
      <c r="G25" s="10"/>
      <c r="H25" s="10">
        <v>4</v>
      </c>
      <c r="I25" s="10">
        <v>5</v>
      </c>
      <c r="J25" s="10">
        <v>6</v>
      </c>
    </row>
    <row r="28" spans="1:10" x14ac:dyDescent="0.3">
      <c r="A28" s="2" t="s">
        <v>12</v>
      </c>
      <c r="B28" t="b">
        <f>C28=D28</f>
        <v>1</v>
      </c>
      <c r="C28">
        <f>SUM(G28:H29)</f>
        <v>10</v>
      </c>
      <c r="D28" s="6">
        <f>SUM(pyTestArr2d(G28:H29))</f>
        <v>10</v>
      </c>
      <c r="G28" s="10">
        <v>1</v>
      </c>
      <c r="H28" s="10">
        <v>2</v>
      </c>
    </row>
    <row r="29" spans="1:10" x14ac:dyDescent="0.3">
      <c r="A29" s="2" t="s">
        <v>25</v>
      </c>
      <c r="B29" t="b">
        <f>C29=D29</f>
        <v>1</v>
      </c>
      <c r="C29">
        <f>C28</f>
        <v>10</v>
      </c>
      <c r="D29" s="6">
        <f>SUM(pyTestArr2d(_xll.xloRef(G28:H29)))</f>
        <v>10</v>
      </c>
      <c r="G29" s="10">
        <v>3</v>
      </c>
      <c r="H29" s="10">
        <v>4</v>
      </c>
    </row>
    <row r="30" spans="1:10" x14ac:dyDescent="0.3">
      <c r="A30" s="2" t="s">
        <v>64</v>
      </c>
      <c r="B30" t="e">
        <f ca="1">C30=D30</f>
        <v>#VALUE!</v>
      </c>
      <c r="C30">
        <f>C29</f>
        <v>10</v>
      </c>
      <c r="D30" s="6" t="e">
        <f ca="1">SUM(_xll.pyTestFastArr(G28:H29))</f>
        <v>#VALUE!</v>
      </c>
      <c r="G30" s="10"/>
      <c r="H30" s="10"/>
    </row>
    <row r="31" spans="1:10" x14ac:dyDescent="0.3">
      <c r="A31" s="2"/>
      <c r="B31" s="19" t="b">
        <f>AND(B28:B29)</f>
        <v>1</v>
      </c>
    </row>
    <row r="33" spans="1:9" x14ac:dyDescent="0.3">
      <c r="A33" s="2" t="s">
        <v>21</v>
      </c>
      <c r="B33" t="b">
        <f>H33=E33</f>
        <v>1</v>
      </c>
      <c r="D33" s="6" t="str">
        <f t="array" ref="D33:E34">pyTestKwargs(G33:H33,G34:H34)</f>
        <v>Foo</v>
      </c>
      <c r="E33" s="6" t="str">
        <v>dead</v>
      </c>
      <c r="G33" s="10" t="s">
        <v>17</v>
      </c>
      <c r="H33" s="10" t="s">
        <v>19</v>
      </c>
    </row>
    <row r="34" spans="1:9" x14ac:dyDescent="0.3">
      <c r="A34" s="2"/>
      <c r="B34" t="b">
        <f>E34=H34</f>
        <v>1</v>
      </c>
      <c r="D34" s="6" t="str">
        <v>Bar</v>
      </c>
      <c r="E34" s="6" t="str">
        <v>parrot</v>
      </c>
      <c r="G34" s="10" t="s">
        <v>18</v>
      </c>
      <c r="H34" s="10" t="s">
        <v>20</v>
      </c>
    </row>
    <row r="35" spans="1:9" x14ac:dyDescent="0.3">
      <c r="B35" s="19" t="b">
        <f>AND(B33:B34)</f>
        <v>1</v>
      </c>
    </row>
    <row r="36" spans="1:9" x14ac:dyDescent="0.3">
      <c r="A36" s="2"/>
    </row>
    <row r="37" spans="1:9" x14ac:dyDescent="0.3">
      <c r="A37" s="2" t="s">
        <v>65</v>
      </c>
      <c r="B37" t="b">
        <f>D37=C37</f>
        <v>1</v>
      </c>
      <c r="C37">
        <f>3*SUM(G38:I38)</f>
        <v>18</v>
      </c>
      <c r="D37" s="6" cm="1">
        <f t="array" ref="D37">pyTestVargs(G38,H38,I38)</f>
        <v>18</v>
      </c>
      <c r="G37" t="s">
        <v>30</v>
      </c>
      <c r="H37" t="s">
        <v>27</v>
      </c>
      <c r="I37" t="s">
        <v>28</v>
      </c>
    </row>
    <row r="38" spans="1:9" x14ac:dyDescent="0.3">
      <c r="A38" s="2"/>
      <c r="B38" t="b">
        <f>D38=C38</f>
        <v>1</v>
      </c>
      <c r="C38">
        <f>SUM(G38:I38)*2</f>
        <v>12</v>
      </c>
      <c r="D38" s="6" cm="1">
        <f t="array" ref="D38">pyTestVargsKwargs(TRANSPOSE(G37:I38),G38,H38,I38)</f>
        <v>12</v>
      </c>
      <c r="G38" s="10">
        <v>1</v>
      </c>
      <c r="H38" s="10">
        <v>2</v>
      </c>
      <c r="I38" s="10">
        <v>3</v>
      </c>
    </row>
    <row r="39" spans="1:9" x14ac:dyDescent="0.3">
      <c r="A39" s="2"/>
      <c r="B39" s="19" t="b">
        <f>AND(B37:B38)</f>
        <v>1</v>
      </c>
    </row>
    <row r="40" spans="1:9" x14ac:dyDescent="0.3">
      <c r="A40" s="2"/>
      <c r="B40" s="2"/>
    </row>
    <row r="41" spans="1:9" x14ac:dyDescent="0.3">
      <c r="A41" s="2" t="s">
        <v>23</v>
      </c>
      <c r="B41" t="b">
        <f>C41=D41</f>
        <v>1</v>
      </c>
      <c r="C41" t="s">
        <v>22</v>
      </c>
      <c r="D41" s="6" t="str">
        <f>pyTestCache(G41)</f>
        <v>Hello world</v>
      </c>
      <c r="G41" t="str">
        <f>pyTestCache()</f>
        <v>欣[PythonTest.xlsm]Test 1!R41C7CustomObj,A</v>
      </c>
    </row>
    <row r="42" spans="1:9" x14ac:dyDescent="0.3">
      <c r="A42" s="2" t="s">
        <v>51</v>
      </c>
      <c r="B42" t="b">
        <f>INDEX(_xll.xloVal(D42),1,1)=C42</f>
        <v>1</v>
      </c>
      <c r="C42" t="str">
        <f>G33</f>
        <v>Foo</v>
      </c>
      <c r="D42" s="6" t="str">
        <f>pyTestToCache(G33:H34)</f>
        <v>永[PythonTest.xlsm]Test 1!R42C4,A</v>
      </c>
    </row>
    <row r="43" spans="1:9" x14ac:dyDescent="0.3">
      <c r="B43" s="19" t="b">
        <f>AND(B41:B42)</f>
        <v>1</v>
      </c>
    </row>
    <row r="45" spans="1:9" ht="13.8" customHeight="1" x14ac:dyDescent="0.3"/>
    <row r="46" spans="1:9" x14ac:dyDescent="0.3">
      <c r="A46" s="2" t="s">
        <v>26</v>
      </c>
      <c r="B46" s="19" t="b">
        <f>C46=D46</f>
        <v>1</v>
      </c>
      <c r="C46">
        <v>4</v>
      </c>
      <c r="D46" s="6">
        <f>SUM(pyTestIter(4,1))</f>
        <v>4</v>
      </c>
    </row>
    <row r="48" spans="1:9" x14ac:dyDescent="0.3">
      <c r="A48" s="2" t="s">
        <v>37</v>
      </c>
      <c r="B48" s="19" t="b">
        <f>C48=D48</f>
        <v>1</v>
      </c>
      <c r="C48" t="s">
        <v>61</v>
      </c>
      <c r="D48" t="str">
        <f>pyTestCom()</f>
        <v>{90160000-000F-0000-1000-0000000FF1CE}</v>
      </c>
    </row>
    <row r="49" spans="1:11" x14ac:dyDescent="0.3">
      <c r="A49" s="2"/>
    </row>
    <row r="50" spans="1:11" x14ac:dyDescent="0.3">
      <c r="A50" s="2" t="s">
        <v>38</v>
      </c>
      <c r="B50" s="19" t="b">
        <f ca="1">C50=SUBSTITUTE(D50, "'","")</f>
        <v>1</v>
      </c>
      <c r="C50" s="4" t="str">
        <f ca="1">MID(CELL("filename"),FIND("[",CELL("filename")),100)&amp;"!"&amp;ADDRESS(ROW(H51),COLUMN(H51),4)</f>
        <v>[PythonTest.xlsm]Test 1!H51</v>
      </c>
      <c r="D50" s="8" t="str">
        <f>pyTestRange(G50:H51)</f>
        <v>'[PythonTest.xlsm]Test 1'!H51</v>
      </c>
      <c r="E50" s="4"/>
      <c r="G50" s="10">
        <v>1</v>
      </c>
      <c r="H50" s="10">
        <v>2</v>
      </c>
    </row>
    <row r="51" spans="1:11" x14ac:dyDescent="0.3">
      <c r="A51" s="2"/>
      <c r="G51" s="10">
        <v>3</v>
      </c>
      <c r="H51" s="10">
        <v>4</v>
      </c>
    </row>
    <row r="52" spans="1:11" x14ac:dyDescent="0.3">
      <c r="A52" s="2"/>
    </row>
    <row r="53" spans="1:11" x14ac:dyDescent="0.3">
      <c r="A53" s="2" t="s">
        <v>29</v>
      </c>
      <c r="B53" t="b">
        <f>C53=D53</f>
        <v>1</v>
      </c>
      <c r="C53">
        <v>2</v>
      </c>
      <c r="D53" s="6">
        <f>pyTestCustomConv(1)</f>
        <v>2</v>
      </c>
    </row>
    <row r="54" spans="1:11" x14ac:dyDescent="0.3">
      <c r="A54" s="2"/>
      <c r="B54" t="b">
        <f>C54=D54</f>
        <v>1</v>
      </c>
      <c r="C54">
        <f>2*SUM(G54:H54)</f>
        <v>14</v>
      </c>
      <c r="D54" s="6">
        <f>SUM(pyTestCustomConv(G54:H54))</f>
        <v>14</v>
      </c>
      <c r="G54" s="10">
        <v>3</v>
      </c>
      <c r="H54" s="10">
        <v>4</v>
      </c>
    </row>
    <row r="55" spans="1:11" x14ac:dyDescent="0.3">
      <c r="B55" s="19" t="b">
        <f>AND(B53:B54)</f>
        <v>1</v>
      </c>
    </row>
    <row r="56" spans="1:11" x14ac:dyDescent="0.3">
      <c r="A56" s="2"/>
    </row>
    <row r="57" spans="1:11" x14ac:dyDescent="0.3">
      <c r="A57" s="2" t="s">
        <v>31</v>
      </c>
      <c r="B57" t="b">
        <f>C57=D57</f>
        <v>1</v>
      </c>
      <c r="C57">
        <f>H58</f>
        <v>2</v>
      </c>
      <c r="D57" s="6">
        <f>pyTestFrameFetch(J57,,"B")</f>
        <v>2</v>
      </c>
      <c r="G57" s="11" t="s">
        <v>30</v>
      </c>
      <c r="H57" s="11" t="s">
        <v>27</v>
      </c>
      <c r="I57" s="11" t="s">
        <v>28</v>
      </c>
      <c r="J57" s="12" t="str">
        <f>pyTestDFrame(G57:I58)</f>
        <v>欣[PythonTest.xlsm]Test 1!R57C10DataFrame,A</v>
      </c>
    </row>
    <row r="58" spans="1:11" x14ac:dyDescent="0.3">
      <c r="A58" s="2"/>
      <c r="G58" s="11">
        <v>1</v>
      </c>
      <c r="H58" s="11">
        <v>2</v>
      </c>
      <c r="I58" s="11">
        <v>3</v>
      </c>
    </row>
    <row r="59" spans="1:11" x14ac:dyDescent="0.3">
      <c r="A59" s="2"/>
    </row>
    <row r="60" spans="1:11" x14ac:dyDescent="0.3">
      <c r="A60" s="2" t="s">
        <v>32</v>
      </c>
      <c r="B60" t="b">
        <f>C60=D60</f>
        <v>1</v>
      </c>
      <c r="C60" t="str">
        <f>I61</f>
        <v>Foo</v>
      </c>
      <c r="D60" s="6" t="str">
        <f>pyTestFrameFetch(K60,0,I60)</f>
        <v>Foo</v>
      </c>
      <c r="G60" s="10" t="s">
        <v>33</v>
      </c>
      <c r="H60" s="10" t="s">
        <v>30</v>
      </c>
      <c r="I60" s="10" t="s">
        <v>68</v>
      </c>
      <c r="J60" s="10" t="s">
        <v>67</v>
      </c>
      <c r="K60" s="12" t="str">
        <f>pyTestDFrameIndex(G60:J62)</f>
        <v>欣[PythonTest.xlsm]Test 1!R60C11,A</v>
      </c>
    </row>
    <row r="61" spans="1:11" x14ac:dyDescent="0.3">
      <c r="A61" s="2"/>
      <c r="B61" t="b">
        <f>C61=D61</f>
        <v>1</v>
      </c>
      <c r="C61">
        <f>H62</f>
        <v>2.1</v>
      </c>
      <c r="D61" s="6">
        <f t="array" ref="D61:D62">pyTestFrameFetch(K60,1)</f>
        <v>2.1</v>
      </c>
      <c r="G61" s="24">
        <v>0</v>
      </c>
      <c r="H61" s="10">
        <v>5.3</v>
      </c>
      <c r="I61" s="10" t="s">
        <v>17</v>
      </c>
      <c r="J61" s="13">
        <v>45026</v>
      </c>
    </row>
    <row r="62" spans="1:11" x14ac:dyDescent="0.3">
      <c r="A62" s="2"/>
      <c r="B62" t="b">
        <f>C62=D62</f>
        <v>1</v>
      </c>
      <c r="C62" t="str">
        <f>I62</f>
        <v>Bar</v>
      </c>
      <c r="D62" s="6" t="str">
        <v>Bar</v>
      </c>
      <c r="G62" s="24">
        <v>1</v>
      </c>
      <c r="H62" s="10">
        <v>2.1</v>
      </c>
      <c r="I62" s="10" t="s">
        <v>18</v>
      </c>
      <c r="J62" s="13">
        <v>45027</v>
      </c>
    </row>
    <row r="63" spans="1:11" x14ac:dyDescent="0.3">
      <c r="A63" s="2"/>
      <c r="D63" s="6"/>
      <c r="G63" s="24">
        <v>2</v>
      </c>
      <c r="H63" s="10">
        <v>4.0999999999999996</v>
      </c>
      <c r="I63" s="10" t="s">
        <v>17</v>
      </c>
      <c r="J63" s="13">
        <v>45027</v>
      </c>
    </row>
    <row r="64" spans="1:11" x14ac:dyDescent="0.3">
      <c r="A64" s="2"/>
    </row>
    <row r="65" spans="1:12" x14ac:dyDescent="0.3">
      <c r="A65" s="2" t="s">
        <v>47</v>
      </c>
      <c r="B65" t="b" cm="1">
        <f t="array" ref="B65">SUM(ABS(D66:E67-G61:H62))=0</f>
        <v>1</v>
      </c>
      <c r="C65" s="23"/>
      <c r="D65" s="6" t="str" cm="1">
        <f t="array" ref="D65:G67">pyTestFrameFetch(K60)</f>
        <v>Time</v>
      </c>
      <c r="E65" s="6" t="str">
        <v>A</v>
      </c>
      <c r="F65" s="6" t="str">
        <v>Food</v>
      </c>
      <c r="G65" s="6" t="str">
        <v>Date</v>
      </c>
    </row>
    <row r="66" spans="1:12" x14ac:dyDescent="0.3">
      <c r="D66" s="6">
        <v>0</v>
      </c>
      <c r="E66" s="6">
        <v>5.3</v>
      </c>
      <c r="F66" s="6" t="str">
        <v>Foo</v>
      </c>
      <c r="G66" s="6">
        <v>45026</v>
      </c>
    </row>
    <row r="67" spans="1:12" ht="15" customHeight="1" x14ac:dyDescent="0.3">
      <c r="D67" s="6">
        <v>1</v>
      </c>
      <c r="E67" s="6">
        <v>2.1</v>
      </c>
      <c r="F67" s="6" t="str">
        <v>Bar</v>
      </c>
      <c r="G67" s="6">
        <v>45027</v>
      </c>
    </row>
    <row r="68" spans="1:12" ht="15" customHeight="1" x14ac:dyDescent="0.3"/>
    <row r="69" spans="1:12" ht="15" customHeight="1" x14ac:dyDescent="0.3">
      <c r="D69" s="6" t="str" cm="1">
        <f t="array" ref="D69:G72">pyTestDFrameMultiIndex(I69:L72,TRUE)</f>
        <v>Clock</v>
      </c>
      <c r="E69" s="6" t="str">
        <v>Category</v>
      </c>
      <c r="F69" s="6" t="str">
        <v>Category</v>
      </c>
      <c r="G69" s="6" t="str">
        <v>Clock</v>
      </c>
      <c r="I69" s="10" t="s">
        <v>70</v>
      </c>
      <c r="J69" s="10" t="s">
        <v>70</v>
      </c>
      <c r="K69" s="10" t="s">
        <v>71</v>
      </c>
      <c r="L69" s="10" t="s">
        <v>71</v>
      </c>
    </row>
    <row r="70" spans="1:12" ht="15" customHeight="1" x14ac:dyDescent="0.3">
      <c r="A70" t="s">
        <v>69</v>
      </c>
      <c r="B70" t="b" cm="1">
        <f t="array" ref="B70">SUM((D69:D72=L69:L72)+0)=4</f>
        <v>1</v>
      </c>
      <c r="D70" s="6" t="str">
        <v>Date</v>
      </c>
      <c r="E70" s="6" t="str">
        <v>Type</v>
      </c>
      <c r="F70" s="6" t="str">
        <v>A</v>
      </c>
      <c r="G70" s="6" t="str">
        <v>Time</v>
      </c>
      <c r="I70" s="10" t="s">
        <v>72</v>
      </c>
      <c r="J70" s="10" t="s">
        <v>30</v>
      </c>
      <c r="K70" s="10" t="s">
        <v>33</v>
      </c>
      <c r="L70" s="10" t="s">
        <v>67</v>
      </c>
    </row>
    <row r="71" spans="1:12" ht="15" customHeight="1" x14ac:dyDescent="0.3">
      <c r="D71" s="6">
        <v>45027</v>
      </c>
      <c r="E71" s="6" t="str">
        <v>Bar</v>
      </c>
      <c r="F71" s="6">
        <v>2.1</v>
      </c>
      <c r="G71" s="6">
        <v>1</v>
      </c>
      <c r="I71" s="10" t="s">
        <v>18</v>
      </c>
      <c r="J71" s="10">
        <v>2.1</v>
      </c>
      <c r="K71" s="10">
        <v>1</v>
      </c>
      <c r="L71" s="13">
        <v>45027</v>
      </c>
    </row>
    <row r="72" spans="1:12" x14ac:dyDescent="0.3">
      <c r="D72" s="6">
        <v>45027</v>
      </c>
      <c r="E72" s="6" t="str">
        <v>Foo</v>
      </c>
      <c r="F72" s="6">
        <v>4.0999999999999996</v>
      </c>
      <c r="G72" s="6">
        <v>2</v>
      </c>
      <c r="I72" s="10" t="s">
        <v>17</v>
      </c>
      <c r="J72" s="10">
        <v>4.0999999999999996</v>
      </c>
      <c r="K72" s="10">
        <v>2</v>
      </c>
      <c r="L72" s="13">
        <v>45027</v>
      </c>
    </row>
    <row r="74" spans="1:12" x14ac:dyDescent="0.3">
      <c r="A74" t="s">
        <v>77</v>
      </c>
      <c r="B74" t="b" cm="1">
        <f t="array" ref="B74">SUM((IFERROR(E74:G80,666)=IFERROR(I74:K80,666))+0)=COUNTA(E74:G80)</f>
        <v>1</v>
      </c>
      <c r="D74" s="6" t="e" cm="1">
        <f t="array" ref="D74:G80">pyTestDFrameNaNs()</f>
        <v>#N/A</v>
      </c>
      <c r="E74" s="6" t="str">
        <v>numbers</v>
      </c>
      <c r="F74" s="6" t="str">
        <v>dates</v>
      </c>
      <c r="G74" s="6" t="str">
        <v>objects</v>
      </c>
      <c r="I74" t="s">
        <v>73</v>
      </c>
      <c r="J74" t="s">
        <v>74</v>
      </c>
      <c r="K74" t="s">
        <v>75</v>
      </c>
    </row>
    <row r="75" spans="1:12" x14ac:dyDescent="0.3">
      <c r="D75" s="6">
        <v>0</v>
      </c>
      <c r="E75" s="6">
        <v>1</v>
      </c>
      <c r="F75" s="6">
        <v>45139</v>
      </c>
      <c r="G75" s="6" t="e">
        <v>#N/A</v>
      </c>
      <c r="I75">
        <v>1</v>
      </c>
      <c r="J75">
        <v>45139</v>
      </c>
      <c r="K75" t="e">
        <v>#N/A</v>
      </c>
    </row>
    <row r="76" spans="1:12" x14ac:dyDescent="0.3">
      <c r="D76" s="6">
        <v>1</v>
      </c>
      <c r="E76" s="6">
        <v>2</v>
      </c>
      <c r="F76" s="6" t="e">
        <v>#N/A</v>
      </c>
      <c r="G76" s="6">
        <v>42</v>
      </c>
      <c r="I76">
        <v>2</v>
      </c>
      <c r="J76" t="e">
        <v>#N/A</v>
      </c>
      <c r="K76">
        <v>42</v>
      </c>
    </row>
    <row r="77" spans="1:12" x14ac:dyDescent="0.3">
      <c r="D77" s="6">
        <v>2</v>
      </c>
      <c r="E77" s="6" t="e">
        <v>#N/A</v>
      </c>
      <c r="F77" s="6">
        <v>45140</v>
      </c>
      <c r="G77" s="6">
        <v>25204</v>
      </c>
      <c r="I77" t="e">
        <v>#N/A</v>
      </c>
      <c r="J77">
        <v>45140</v>
      </c>
      <c r="K77">
        <v>25204</v>
      </c>
    </row>
    <row r="78" spans="1:12" x14ac:dyDescent="0.3">
      <c r="D78" s="6">
        <v>3</v>
      </c>
      <c r="E78" s="6">
        <v>3</v>
      </c>
      <c r="F78" s="6" t="e">
        <v>#N/A</v>
      </c>
      <c r="G78" s="6" t="str">
        <v>Foo</v>
      </c>
      <c r="I78">
        <v>3</v>
      </c>
      <c r="J78" t="e">
        <v>#N/A</v>
      </c>
      <c r="K78" t="s">
        <v>17</v>
      </c>
    </row>
    <row r="79" spans="1:12" x14ac:dyDescent="0.3">
      <c r="D79" s="6">
        <v>4</v>
      </c>
      <c r="E79" s="6">
        <v>4</v>
      </c>
      <c r="F79" s="6" t="e">
        <v>#N/A</v>
      </c>
      <c r="G79" s="6" t="e">
        <v>#N/A</v>
      </c>
      <c r="I79">
        <v>4</v>
      </c>
      <c r="J79" t="e">
        <v>#N/A</v>
      </c>
      <c r="K79" t="e">
        <v>#N/A</v>
      </c>
    </row>
    <row r="80" spans="1:12" x14ac:dyDescent="0.3">
      <c r="D80" s="6">
        <v>5</v>
      </c>
      <c r="E80" s="6">
        <v>5</v>
      </c>
      <c r="F80" s="6">
        <v>45140</v>
      </c>
      <c r="G80" s="6" t="str">
        <v>&lt;class 'int'&gt;</v>
      </c>
      <c r="I80">
        <v>5</v>
      </c>
      <c r="J80">
        <v>45140</v>
      </c>
      <c r="K80" t="s">
        <v>76</v>
      </c>
    </row>
    <row r="82" spans="1:7" x14ac:dyDescent="0.3">
      <c r="B82" t="b" cm="1">
        <f t="array" ref="B82">SUM(ABS(D83:E83-G61:H61))=0</f>
        <v>1</v>
      </c>
      <c r="D82" s="6" t="str">
        <f t="array" ref="D82:F83">pyTestFrameWrite(K60)</f>
        <v>Time</v>
      </c>
      <c r="E82" s="6" t="str">
        <v>A</v>
      </c>
      <c r="F82" s="6" t="str">
        <v>Food</v>
      </c>
    </row>
    <row r="83" spans="1:7" x14ac:dyDescent="0.3">
      <c r="D83" s="6">
        <v>0</v>
      </c>
      <c r="E83" s="6">
        <v>5.3</v>
      </c>
      <c r="F83" s="6" t="str">
        <v>Foo</v>
      </c>
    </row>
    <row r="84" spans="1:7" x14ac:dyDescent="0.3">
      <c r="B84" s="19" t="b">
        <f>AND(B57:B83)</f>
        <v>1</v>
      </c>
    </row>
    <row r="86" spans="1:7" x14ac:dyDescent="0.3">
      <c r="A86" s="2" t="s">
        <v>34</v>
      </c>
      <c r="B86" t="b">
        <f>C86=D86</f>
        <v>1</v>
      </c>
      <c r="C86" s="3">
        <f>G86+1</f>
        <v>42737</v>
      </c>
      <c r="D86" s="7">
        <f>pyTestDate(G86)</f>
        <v>42737</v>
      </c>
      <c r="E86" s="3"/>
      <c r="G86" s="13">
        <v>42736</v>
      </c>
    </row>
    <row r="87" spans="1:7" x14ac:dyDescent="0.3">
      <c r="B87" t="b">
        <f>D87=C87</f>
        <v>1</v>
      </c>
      <c r="C87" s="3">
        <v>42768</v>
      </c>
      <c r="D87" s="7">
        <f>pyTestDate(G87)</f>
        <v>42768</v>
      </c>
      <c r="E87" s="3"/>
      <c r="G87" s="14" t="s">
        <v>35</v>
      </c>
    </row>
    <row r="88" spans="1:7" x14ac:dyDescent="0.3">
      <c r="B88" s="19" t="b">
        <f>AND(B86:B87)</f>
        <v>1</v>
      </c>
    </row>
    <row r="90" spans="1:7" x14ac:dyDescent="0.3">
      <c r="A90" s="2" t="s">
        <v>39</v>
      </c>
      <c r="B90" s="19" t="e">
        <f ca="1">E96&lt;&gt;F96</f>
        <v>#VALUE!</v>
      </c>
      <c r="D90" t="s">
        <v>40</v>
      </c>
      <c r="E90">
        <v>3</v>
      </c>
      <c r="F90">
        <v>1</v>
      </c>
      <c r="G90">
        <v>4</v>
      </c>
    </row>
    <row r="91" spans="1:7" x14ac:dyDescent="0.3">
      <c r="A91" t="s">
        <v>46</v>
      </c>
      <c r="D91" t="s">
        <v>41</v>
      </c>
      <c r="E91">
        <v>3</v>
      </c>
      <c r="F91">
        <v>2</v>
      </c>
      <c r="G91">
        <v>7</v>
      </c>
    </row>
    <row r="92" spans="1:7" x14ac:dyDescent="0.3">
      <c r="D92" t="s">
        <v>42</v>
      </c>
      <c r="E92">
        <v>500</v>
      </c>
      <c r="F92">
        <f>E92</f>
        <v>500</v>
      </c>
      <c r="G92">
        <f>E92</f>
        <v>500</v>
      </c>
    </row>
    <row r="93" spans="1:7" x14ac:dyDescent="0.3">
      <c r="D93" t="s">
        <v>43</v>
      </c>
      <c r="E93">
        <f>E92</f>
        <v>500</v>
      </c>
      <c r="F93">
        <f>E93</f>
        <v>500</v>
      </c>
      <c r="G93">
        <f>E93</f>
        <v>500</v>
      </c>
    </row>
    <row r="94" spans="1:7" x14ac:dyDescent="0.3">
      <c r="D94" t="s">
        <v>44</v>
      </c>
      <c r="E94">
        <f>E93</f>
        <v>500</v>
      </c>
      <c r="F94">
        <f>E94</f>
        <v>500</v>
      </c>
      <c r="G94">
        <f>E94</f>
        <v>500</v>
      </c>
    </row>
    <row r="95" spans="1:7" x14ac:dyDescent="0.3">
      <c r="D95" t="s">
        <v>45</v>
      </c>
      <c r="E95">
        <f>E94</f>
        <v>500</v>
      </c>
      <c r="F95">
        <f>E95</f>
        <v>500</v>
      </c>
      <c r="G95">
        <f>E95</f>
        <v>500</v>
      </c>
    </row>
    <row r="96" spans="1:7" x14ac:dyDescent="0.3">
      <c r="E96" s="6" t="e">
        <f ca="1">_xll.pyThreadTest(E90,E91,E92,E93,E94,E95)</f>
        <v>#VALUE!</v>
      </c>
      <c r="F96" s="6" t="e">
        <f ca="1">_xll.pyThreadTest(F90,F91,F92,F93,F94,F95)</f>
        <v>#VALUE!</v>
      </c>
      <c r="G96" s="6" t="e">
        <f ca="1">_xll.pyThreadTest(G90,G91,G92,G93,G94,G95)</f>
        <v>#VALUE!</v>
      </c>
    </row>
    <row r="99" spans="1:8" x14ac:dyDescent="0.3">
      <c r="A99" s="2" t="s">
        <v>66</v>
      </c>
      <c r="B99" s="19" t="e">
        <f ca="1">C99=D100</f>
        <v>#VALUE!</v>
      </c>
      <c r="C99" t="s">
        <v>48</v>
      </c>
      <c r="D99" t="e" cm="1">
        <f t="array" aca="1" ref="D99" ca="1">_xll.xloImport(pyWbPath()&amp;"\TestModule.py", "*")</f>
        <v>#VALUE!</v>
      </c>
    </row>
    <row r="100" spans="1:8" x14ac:dyDescent="0.3">
      <c r="A100" t="s">
        <v>49</v>
      </c>
      <c r="B100" s="19" t="e">
        <f ca="1">C102=D102</f>
        <v>#VALUE!</v>
      </c>
      <c r="D100" s="6" t="e">
        <f ca="1">_xll.pyTestLoadMod()</f>
        <v>#VALUE!</v>
      </c>
    </row>
    <row r="101" spans="1:8" x14ac:dyDescent="0.3">
      <c r="D101" t="e" cm="1">
        <f t="array" aca="1" ref="D101" ca="1">_xll.pyFooBar(1)</f>
        <v>#VALUE!</v>
      </c>
    </row>
    <row r="102" spans="1:8" x14ac:dyDescent="0.3">
      <c r="C102">
        <v>16</v>
      </c>
      <c r="D102" t="e" cm="1">
        <f t="array" aca="1" ref="D102" ca="1">_xll.xloAttr(D101,"xplus",,3,4)</f>
        <v>#VALUE!</v>
      </c>
    </row>
    <row r="104" spans="1:8" x14ac:dyDescent="0.3">
      <c r="A104" s="2" t="s">
        <v>50</v>
      </c>
      <c r="B104" s="19" t="b">
        <f>AND(D104=F104+1, D105=G104+1, D106=H104+1,D107=F105+1,D108=G105+1)</f>
        <v>1</v>
      </c>
      <c r="D104" s="6">
        <f t="array" ref="D104:D108">pyTestDateConv(F104:H105)</f>
        <v>43001</v>
      </c>
      <c r="F104" s="10">
        <v>43000</v>
      </c>
      <c r="G104" s="10">
        <v>44000</v>
      </c>
      <c r="H104" s="10">
        <v>45000.66</v>
      </c>
    </row>
    <row r="105" spans="1:8" x14ac:dyDescent="0.3">
      <c r="D105" s="6">
        <v>44001</v>
      </c>
      <c r="F105" s="10">
        <f>G104</f>
        <v>44000</v>
      </c>
      <c r="G105" s="10">
        <v>37000</v>
      </c>
      <c r="H105" s="10">
        <f>H104</f>
        <v>45000.66</v>
      </c>
    </row>
    <row r="106" spans="1:8" x14ac:dyDescent="0.3">
      <c r="D106" s="6">
        <v>45001.66</v>
      </c>
    </row>
    <row r="107" spans="1:8" x14ac:dyDescent="0.3">
      <c r="D107" s="6">
        <v>44001</v>
      </c>
    </row>
    <row r="108" spans="1:8" x14ac:dyDescent="0.3">
      <c r="D108" s="6">
        <v>37001</v>
      </c>
    </row>
    <row r="110" spans="1:8" x14ac:dyDescent="0.3">
      <c r="A110" s="2" t="s">
        <v>52</v>
      </c>
      <c r="B110" s="19" t="b">
        <f>C110:C111=D110:D111</f>
        <v>1</v>
      </c>
      <c r="C110">
        <v>0</v>
      </c>
      <c r="D110" s="6">
        <f>pyTestDynamic0()</f>
        <v>0</v>
      </c>
    </row>
    <row r="111" spans="1:8" x14ac:dyDescent="0.3">
      <c r="C111">
        <v>2</v>
      </c>
      <c r="D111" s="6">
        <f>pyTestDynamic2()</f>
        <v>2</v>
      </c>
    </row>
    <row r="113" spans="1:4" x14ac:dyDescent="0.3">
      <c r="A113" s="2" t="s">
        <v>53</v>
      </c>
      <c r="B113" s="19" t="b">
        <f>C113=D113</f>
        <v>1</v>
      </c>
      <c r="C113" t="str">
        <f>pyTestWorkbooks()</f>
        <v>PythonTest.xlsm</v>
      </c>
      <c r="D113" s="6" t="str">
        <f>pyTestWorkbooks()</f>
        <v>PythonTest.xlsm</v>
      </c>
    </row>
    <row r="115" spans="1:4" x14ac:dyDescent="0.3">
      <c r="A115" s="2" t="s">
        <v>56</v>
      </c>
      <c r="B115" s="19" t="b">
        <f>C115=D115</f>
        <v>1</v>
      </c>
      <c r="C115">
        <v>6</v>
      </c>
      <c r="D115" s="6">
        <f>pyTestExcelCall("sum",1,2,3)</f>
        <v>6</v>
      </c>
    </row>
    <row r="118" spans="1:4" x14ac:dyDescent="0.3">
      <c r="A118" s="2" t="s">
        <v>57</v>
      </c>
      <c r="B118" t="b">
        <f ca="1">C118=D118</f>
        <v>1</v>
      </c>
      <c r="C118" t="str">
        <f ca="1">"="&amp;SUBSTITUTE(CELL("address",C115)&amp;"="&amp;CELL("address",D115),"$","")</f>
        <v>=C115=D115</v>
      </c>
      <c r="D118" s="6" t="str">
        <f>pyTestExcelCall("getcell",6,Test_ExcelCall)</f>
        <v>=C115=D115</v>
      </c>
    </row>
    <row r="119" spans="1:4" x14ac:dyDescent="0.3">
      <c r="B119" t="e">
        <f ca="1">C119=D119</f>
        <v>#VALUE!</v>
      </c>
      <c r="C119" t="str">
        <f ca="1">C118</f>
        <v>=C115=D115</v>
      </c>
      <c r="D119" s="6" t="e">
        <f ca="1">_xll.pyTestRangeFormula2(Test_ExcelCall)</f>
        <v>#VALUE!</v>
      </c>
    </row>
    <row r="120" spans="1:4" x14ac:dyDescent="0.3">
      <c r="B120" t="b">
        <f ca="1">C120=D120</f>
        <v>1</v>
      </c>
      <c r="C120" t="str">
        <f ca="1">C119</f>
        <v>=C115=D115</v>
      </c>
      <c r="D120" s="6" t="str">
        <f>pyTestRangeFormula(Test_ExcelCall)</f>
        <v>=C115=D115</v>
      </c>
    </row>
    <row r="121" spans="1:4" x14ac:dyDescent="0.3">
      <c r="B121" s="19" t="e">
        <f ca="1">AND(B118:B120)</f>
        <v>#VALUE!</v>
      </c>
    </row>
    <row r="123" spans="1:4" x14ac:dyDescent="0.3">
      <c r="A123" s="2" t="s">
        <v>58</v>
      </c>
      <c r="B123" t="b">
        <f>C123=D123</f>
        <v>1</v>
      </c>
      <c r="C123" t="str">
        <f>C113</f>
        <v>PythonTest.xlsm</v>
      </c>
      <c r="D123" s="6" t="str">
        <f>pyTestAppRun("pyTestWorkbooks")</f>
        <v>PythonTest.xlsm</v>
      </c>
    </row>
    <row r="124" spans="1:4" x14ac:dyDescent="0.3">
      <c r="B124" t="b">
        <f>C124=D124</f>
        <v>1</v>
      </c>
      <c r="C124">
        <v>6</v>
      </c>
      <c r="D124" s="6">
        <f>pyTestAppRun("pySum",1,2,3)</f>
        <v>6</v>
      </c>
    </row>
    <row r="125" spans="1:4" x14ac:dyDescent="0.3">
      <c r="B125" t="b">
        <f ca="1">C125=SUBSTITUTE(D125, "'","")</f>
        <v>1</v>
      </c>
      <c r="C125" t="str">
        <f ca="1">MID(CELL("filename"),FIND("[",CELL("filename")),100)&amp;"!"&amp;ADDRESS(ROW(E124),COLUMN(E124),4)</f>
        <v>[PythonTest.xlsm]Test 1!E124</v>
      </c>
      <c r="D125" s="6" t="str">
        <f>pyTestAppRun("pyTestRange", D123)</f>
        <v>'[PythonTest.xlsm]Test 1'!E124</v>
      </c>
    </row>
    <row r="126" spans="1:4" x14ac:dyDescent="0.3">
      <c r="B126" s="19" t="b">
        <f ca="1">AND(B123:B125)</f>
        <v>1</v>
      </c>
    </row>
  </sheetData>
  <conditionalFormatting sqref="B8:B11 B22:B24 B26 B32:B34 B56:B61 B45:B54 B98 B89 B91:B96 B105:B109 B111:B112 B114 B28:B30 B36:B38 B41:B42 B14:B20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2:B83 B85:B87">
    <cfRule type="expression" dxfId="14" priority="18">
      <formula>IFERROR(NOT(OR(ISBLANK(B62),B62)),TRUE)</formula>
    </cfRule>
  </conditionalFormatting>
  <conditionalFormatting sqref="B118:B120">
    <cfRule type="expression" dxfId="13" priority="17">
      <formula>IFERROR(NOT(OR(ISBLANK(B118),B118)),TRUE)</formula>
    </cfRule>
  </conditionalFormatting>
  <conditionalFormatting sqref="B123:B124">
    <cfRule type="expression" dxfId="12" priority="16">
      <formula>IFERROR(NOT(OR(ISBLANK(B123),B123)),TRUE)</formula>
    </cfRule>
  </conditionalFormatting>
  <conditionalFormatting sqref="B125">
    <cfRule type="expression" dxfId="11" priority="13">
      <formula>IFERROR(NOT(OR(ISBLANK(B125),B125)),TRUE)</formula>
    </cfRule>
  </conditionalFormatting>
  <conditionalFormatting sqref="B55">
    <cfRule type="expression" dxfId="10" priority="12">
      <formula>IFERROR(NOT(OR(ISBLANK(B55),B55)),TRUE)</formula>
    </cfRule>
  </conditionalFormatting>
  <conditionalFormatting sqref="B84">
    <cfRule type="expression" dxfId="9" priority="11">
      <formula>IFERROR(NOT(OR(ISBLANK(B84),B84)),TRUE)</formula>
    </cfRule>
  </conditionalFormatting>
  <conditionalFormatting sqref="B88">
    <cfRule type="expression" dxfId="8" priority="10">
      <formula>IFERROR(NOT(OR(ISBLANK(B88),B88)),TRUE)</formula>
    </cfRule>
  </conditionalFormatting>
  <conditionalFormatting sqref="B90">
    <cfRule type="expression" dxfId="7" priority="9">
      <formula>IFERROR(NOT(OR(ISBLANK(B90),B90)),TRUE)</formula>
    </cfRule>
  </conditionalFormatting>
  <conditionalFormatting sqref="B99:B100">
    <cfRule type="expression" dxfId="6" priority="8">
      <formula>IFERROR(NOT(OR(ISBLANK(B99),B99)),TRUE)</formula>
    </cfRule>
  </conditionalFormatting>
  <conditionalFormatting sqref="B104">
    <cfRule type="expression" dxfId="5" priority="7">
      <formula>IFERROR(NOT(OR(ISBLANK(B104),B104)),TRUE)</formula>
    </cfRule>
  </conditionalFormatting>
  <conditionalFormatting sqref="B110">
    <cfRule type="expression" dxfId="4" priority="6">
      <formula>IFERROR(NOT(OR(ISBLANK(B110),B110)),TRUE)</formula>
    </cfRule>
  </conditionalFormatting>
  <conditionalFormatting sqref="B113">
    <cfRule type="expression" dxfId="3" priority="5">
      <formula>IFERROR(NOT(OR(ISBLANK(B113),B113)),TRUE)</formula>
    </cfRule>
  </conditionalFormatting>
  <conditionalFormatting sqref="B115">
    <cfRule type="expression" dxfId="2" priority="4">
      <formula>IFERROR(NOT(OR(ISBLANK(B115),B115)),TRUE)</formula>
    </cfRule>
  </conditionalFormatting>
  <conditionalFormatting sqref="B121">
    <cfRule type="expression" dxfId="1" priority="3">
      <formula>IFERROR(NOT(OR(ISBLANK(B121),B121)),TRUE)</formula>
    </cfRule>
  </conditionalFormatting>
  <conditionalFormatting sqref="B126">
    <cfRule type="expression" dxfId="0" priority="1">
      <formula>IFERROR(NOT(OR(ISBLANK(B126),B126)),TRUE)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2023-08-29T22:06:30Z</dcterms:modified>
</cp:coreProperties>
</file>