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5817E4F6-D33F-431F-9BDC-7BFC58C09867}" xr6:coauthVersionLast="45" xr6:coauthVersionMax="45" xr10:uidLastSave="{00000000-0000-0000-0000-000000000000}"/>
  <bookViews>
    <workbookView xWindow="828" yWindow="-108" windowWidth="22320" windowHeight="13176" xr2:uid="{00000000-000D-0000-FFFF-FFFF00000000}"/>
  </bookViews>
  <sheets>
    <sheet name="Test1" sheetId="1" r:id="rId1"/>
    <sheet name="Sheet2" sheetId="2" r:id="rId2"/>
  </sheets>
  <functionGroups builtInGroupCount="19"/>
  <calcPr calcId="181029"/>
  <fileRecoveryPr repairLoad="1"/>
</workbook>
</file>

<file path=xl/calcChain.xml><?xml version="1.0" encoding="utf-8"?>
<calcChain xmlns="http://schemas.openxmlformats.org/spreadsheetml/2006/main">
  <c r="B34" i="1" l="1"/>
  <c r="C64" i="1"/>
  <c r="C34" i="1" l="1"/>
  <c r="C40" i="1"/>
  <c r="D34" i="1"/>
  <c r="H81" i="1" l="1"/>
  <c r="F81" i="1"/>
  <c r="D75" i="1"/>
  <c r="D80" i="1" a="1"/>
  <c r="D77" i="1"/>
  <c r="D82" i="1" l="1"/>
  <c r="D83" i="1"/>
  <c r="D84" i="1"/>
  <c r="D80" i="1"/>
  <c r="B80" i="1" s="1"/>
  <c r="D81" i="1"/>
  <c r="B75" i="1"/>
  <c r="B53" i="1" a="1"/>
  <c r="D25" i="1" a="1"/>
  <c r="D76" i="1"/>
  <c r="D25" i="1" l="1"/>
  <c r="E26" i="1"/>
  <c r="B26" i="1" s="1"/>
  <c r="E25" i="1"/>
  <c r="B25" i="1" s="1"/>
  <c r="D26" i="1"/>
  <c r="E70" i="1"/>
  <c r="F70" i="1" s="1"/>
  <c r="G69" i="1"/>
  <c r="F69" i="1"/>
  <c r="E71" i="1" l="1"/>
  <c r="F71" i="1"/>
  <c r="G70" i="1"/>
  <c r="G71" i="1" l="1"/>
  <c r="E72" i="1"/>
  <c r="D1" i="1"/>
  <c r="D30" i="1"/>
  <c r="D9" i="1"/>
  <c r="C62" i="1"/>
  <c r="C63" i="1"/>
  <c r="D29" i="1"/>
  <c r="D40" i="1"/>
  <c r="F72" i="1" l="1"/>
  <c r="F73" i="1" s="1"/>
  <c r="E73" i="1"/>
  <c r="G72" i="1"/>
  <c r="G73" i="1" s="1"/>
  <c r="C58" i="1"/>
  <c r="D59" i="1"/>
  <c r="D8" i="1"/>
  <c r="B59" i="1" l="1"/>
  <c r="D58" i="1"/>
  <c r="D4" i="1"/>
  <c r="B58" i="1" l="1"/>
  <c r="B2" i="2"/>
  <c r="D11" i="2" s="1" a="1"/>
  <c r="C51" i="1"/>
  <c r="C50" i="1"/>
  <c r="C49" i="1"/>
  <c r="C46" i="1"/>
  <c r="C44" i="1"/>
  <c r="C29" i="1"/>
  <c r="C30" i="1" s="1"/>
  <c r="C21" i="1"/>
  <c r="C22" i="1" s="1"/>
  <c r="C17" i="1" a="1"/>
  <c r="C17" i="1" s="1"/>
  <c r="C14" i="1"/>
  <c r="C13" i="1"/>
  <c r="C15" i="1" s="1"/>
  <c r="D43" i="1"/>
  <c r="D32" i="1"/>
  <c r="I49" i="1"/>
  <c r="D10" i="1"/>
  <c r="D18" i="1"/>
  <c r="D44" i="1"/>
  <c r="D5" i="1"/>
  <c r="C8" i="1"/>
  <c r="C38" i="1"/>
  <c r="D14" i="1"/>
  <c r="D13" i="1"/>
  <c r="I46" i="1"/>
  <c r="D7" i="1"/>
  <c r="D36" i="1"/>
  <c r="D17" i="1"/>
  <c r="D11" i="1"/>
  <c r="D21" i="1"/>
  <c r="D15" i="1"/>
  <c r="D22" i="1"/>
  <c r="B8" i="1" l="1"/>
  <c r="B36" i="1"/>
  <c r="B21" i="1"/>
  <c r="B7" i="1"/>
  <c r="B13" i="1"/>
  <c r="B29" i="1"/>
  <c r="B43" i="1"/>
  <c r="B30" i="1"/>
  <c r="B9" i="1"/>
  <c r="B10" i="1"/>
  <c r="B4" i="1"/>
  <c r="B14" i="1"/>
  <c r="B5" i="1"/>
  <c r="B11" i="1"/>
  <c r="B18" i="1"/>
  <c r="B44" i="1"/>
  <c r="B17" i="1"/>
  <c r="B15" i="1"/>
  <c r="B22" i="1"/>
  <c r="B40" i="1"/>
  <c r="D11" i="2"/>
  <c r="E11" i="2"/>
  <c r="E12" i="2"/>
  <c r="D12" i="2"/>
  <c r="D8" i="2" a="1"/>
  <c r="D5" i="2" a="1"/>
  <c r="D46" i="1"/>
  <c r="D53" i="1" a="1"/>
  <c r="D49" i="1"/>
  <c r="D50" i="1" a="1"/>
  <c r="D33" i="1"/>
  <c r="F54" i="1" l="1"/>
  <c r="D55" i="1"/>
  <c r="D54" i="1"/>
  <c r="D53" i="1"/>
  <c r="F53" i="1"/>
  <c r="E54" i="1"/>
  <c r="F55" i="1"/>
  <c r="E53" i="1"/>
  <c r="E55" i="1"/>
  <c r="B46" i="1"/>
  <c r="D50" i="1"/>
  <c r="B50" i="1" s="1"/>
  <c r="D51" i="1"/>
  <c r="B51" i="1" s="1"/>
  <c r="B49" i="1"/>
  <c r="B33" i="1"/>
  <c r="D6" i="2"/>
  <c r="E5" i="2"/>
  <c r="D5" i="2"/>
  <c r="E6" i="2"/>
  <c r="E9" i="2"/>
  <c r="D9" i="2"/>
  <c r="E8" i="2"/>
  <c r="D8" i="2"/>
  <c r="B53" i="1" l="1"/>
  <c r="B5" i="2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<sst xmlns="http://schemas.openxmlformats.org/spreadsheetml/2006/main" count="71" uniqueCount="64">
  <si>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</si>
  <si>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</si>
  <si>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</si>
  <si>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</si>
  <si>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</si>
  <si>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</si>
  <si>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</si>
  <si>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</si>
  <si>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</si>
  <si>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</si>
  <si>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</si>
  <si>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</si>
  <si>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</si>
  <si>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</si>
  <si>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</si>
  <si>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</si>
  <si>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</si>
  <si>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</si>
  <si>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</si>
  <si>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</si>
  <si>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</si>
  <si>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</si>
  <si>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</si>
  <si>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</si>
  <si>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</si>
  <si>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</si>
  <si>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</si>
  <si>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</si>
  <si>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</si>
  <si>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</si>
  <si>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</si>
  <si>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</si>
  <si>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</si>
  <si>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</si>
  <si>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</si>
  <si>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</si>
  <si>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</si>
  <si>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</si>
  <si>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</si>
  <si>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</si>
  <si>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</si>
  <si>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</si>
  <si>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</si>
  <si>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</si>
  <si>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</si>
  <si>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</si>
  <si>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</si>
  <si>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</si>
  <si>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</si>
  <si>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</si>
  <si>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</si>
  <si>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</si>
  <si>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</si>
  <si>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</si>
  <si>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</si>
  <si>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</si>
  <si>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</si>
  <si>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</si>
  <si>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</si>
  <si>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</si>
  <si>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</si>
  <si>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</si>
  <si>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</si>
  <si>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Calc on Test1 finished at: 2020-12-03 21:33:56.126653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</si>
</sst>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89"/>
  <sheetViews>
    <sheetView showGridLines="0" tabSelected="1" workbookViewId="0">
      <selection activeCell="F6" sqref="F6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63</v>
      </c>
      <c r="B1" s="6"/>
      <c r="C1" s="6"/>
      <c r="D1" s="26" t="e">
        <f ca="1">_xll.pyTestAsyncGen(2)</f>
        <v>#NAME?</v>
      </c>
      <c r="H1" s="25"/>
    </row>
    <row r="2" spans="1:8" x14ac:dyDescent="0.3">
      <c r="A2" s="17"/>
      <c r="B2" s="12"/>
      <c r="C2" s="12"/>
    </row>
    <row r="3" spans="1:8" x14ac:dyDescent="0.3">
      <c r="A3" s="1" t="s">
        <v>40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in arg 3 'z': Cannot convert : Unknown type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in arg 3 'a': Cannot convert 3.2: Expected int</v>
      </c>
      <c r="D8" s="10" t="str">
        <f>pySumNums(1,2,3.2)</f>
        <v>Error in arg 3 'a': Cannot convert 3.2: Expected int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in arg 1 'x':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H25=E25</f>
        <v>1</v>
      </c>
      <c r="D25" s="7" t="str">
        <f t="array" ref="D25:E26">pyTestKwargs(G25:H26)</f>
        <v>Foo</v>
      </c>
      <c r="E25" s="7" t="str">
        <v>dead</v>
      </c>
      <c r="G25" s="19" t="s">
        <v>17</v>
      </c>
      <c r="H25" s="19" t="s">
        <v>19</v>
      </c>
    </row>
    <row r="26" spans="1:9" x14ac:dyDescent="0.3">
      <c r="A26" s="2"/>
      <c r="B26" t="b">
        <f>E26=H26</f>
        <v>1</v>
      </c>
      <c r="D26" s="7" t="str">
        <v>Bar</v>
      </c>
      <c r="E26" s="7" t="str">
        <v>parrot</v>
      </c>
      <c r="G26" s="19" t="s">
        <v>18</v>
      </c>
      <c r="H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43</v>
      </c>
      <c r="B30" t="b">
        <f>C30=D30</f>
        <v>1</v>
      </c>
      <c r="C30" t="str">
        <f>C29</f>
        <v>foo</v>
      </c>
      <c r="D30" s="9" t="str">
        <f>_xll.pyTestAsyncRtd(F29,1)</f>
        <v>foo</v>
      </c>
    </row>
    <row r="32" spans="1:9" x14ac:dyDescent="0.3">
      <c r="A32" s="2" t="s">
        <v>25</v>
      </c>
      <c r="D32" s="5" t="str">
        <f>pyTestCache()</f>
        <v>欣[PythonTest.xlsm]Test1!R32C4,A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A34" s="2" t="s">
        <v>62</v>
      </c>
      <c r="B34" t="e">
        <f ca="1">INDEX(_xll.xloVal(D34),1,1)=C34</f>
        <v>#VALUE!</v>
      </c>
      <c r="C34" t="str">
        <f>G25</f>
        <v>Foo</v>
      </c>
      <c r="D34" s="7" t="str">
        <f>pyTestToCache(G25:H26)</f>
        <v>永[PythonTest.xlsm]Test1!R34C4,A</v>
      </c>
      <c r="M34" s="5"/>
    </row>
    <row r="35" spans="1:13" x14ac:dyDescent="0.3">
      <c r="M35" s="5"/>
    </row>
    <row r="36" spans="1:13" x14ac:dyDescent="0.3">
      <c r="A36" s="2" t="s">
        <v>28</v>
      </c>
      <c r="B36" t="b">
        <f>C36=D36</f>
        <v>1</v>
      </c>
      <c r="C36">
        <v>4</v>
      </c>
      <c r="D36" s="7">
        <f>SUM(pyTestIter(4,1))</f>
        <v>4</v>
      </c>
      <c r="M36" s="5"/>
    </row>
    <row r="37" spans="1:13" x14ac:dyDescent="0.3">
      <c r="M37" s="5"/>
    </row>
    <row r="38" spans="1:13" x14ac:dyDescent="0.3">
      <c r="A38" s="2" t="s">
        <v>41</v>
      </c>
      <c r="C38" t="str">
        <f>pyTestCom()</f>
        <v>{90160000-000F-0000-1000-0000000FF1CE}</v>
      </c>
      <c r="M38" s="5"/>
    </row>
    <row r="39" spans="1:13" x14ac:dyDescent="0.3">
      <c r="A39" s="2"/>
      <c r="M39" s="5"/>
    </row>
    <row r="40" spans="1:13" x14ac:dyDescent="0.3">
      <c r="A40" s="2" t="s">
        <v>42</v>
      </c>
      <c r="B40" t="b">
        <f ca="1">C40=D40</f>
        <v>1</v>
      </c>
      <c r="C40" s="4" t="str">
        <f ca="1">MID(CELL("filename"),FIND("[",CELL("filename")),100)&amp;"!"&amp;ADDRESS(ROW(G41),COLUMN(G41),4)</f>
        <v>[PythonTest.xlsm]Test1!G41</v>
      </c>
      <c r="D40" s="10" t="str">
        <f>pyTestRange(F40:G41)</f>
        <v>[PythonTest.xlsm]Test1!G41</v>
      </c>
      <c r="E40" s="16"/>
      <c r="F40" s="19">
        <v>1</v>
      </c>
      <c r="G40" s="19">
        <v>2</v>
      </c>
      <c r="M40" s="5"/>
    </row>
    <row r="41" spans="1:13" x14ac:dyDescent="0.3">
      <c r="A41" s="2"/>
      <c r="F41" s="19">
        <v>3</v>
      </c>
      <c r="G41" s="19">
        <v>4</v>
      </c>
      <c r="M41" s="5"/>
    </row>
    <row r="42" spans="1:13" x14ac:dyDescent="0.3">
      <c r="A42" s="2"/>
      <c r="M42" s="5"/>
    </row>
    <row r="43" spans="1:13" x14ac:dyDescent="0.3">
      <c r="A43" s="2" t="s">
        <v>33</v>
      </c>
      <c r="B43" t="b">
        <f>C43=D43</f>
        <v>1</v>
      </c>
      <c r="C43">
        <v>2</v>
      </c>
      <c r="D43" s="7">
        <f>pyTestCustomConv(1)</f>
        <v>2</v>
      </c>
    </row>
    <row r="44" spans="1:13" x14ac:dyDescent="0.3">
      <c r="A44" s="2"/>
      <c r="B44" t="b">
        <f>C44=D44</f>
        <v>1</v>
      </c>
      <c r="C44">
        <f>2*SUM(F44:G44)</f>
        <v>14</v>
      </c>
      <c r="D44" s="7">
        <f>SUM(pyTestCustomConv(F44:G44))</f>
        <v>14</v>
      </c>
      <c r="F44" s="19">
        <v>3</v>
      </c>
      <c r="G44" s="19">
        <v>4</v>
      </c>
    </row>
    <row r="45" spans="1:13" x14ac:dyDescent="0.3">
      <c r="A45" s="2"/>
    </row>
    <row r="46" spans="1:13" x14ac:dyDescent="0.3">
      <c r="A46" s="2" t="s">
        <v>35</v>
      </c>
      <c r="B46" t="b">
        <f>C46=D46</f>
        <v>1</v>
      </c>
      <c r="C46">
        <f>G47</f>
        <v>2</v>
      </c>
      <c r="D46" s="7">
        <f>pyTestFrameFetch(I46,,"B")</f>
        <v>2</v>
      </c>
      <c r="F46" s="20" t="s">
        <v>34</v>
      </c>
      <c r="G46" s="20" t="s">
        <v>29</v>
      </c>
      <c r="H46" s="20" t="s">
        <v>30</v>
      </c>
      <c r="I46" s="21" t="str">
        <f>pyTestDFrame(F46:H47)</f>
        <v>欣[PythonTest.xlsm]Test1!R46C9,A</v>
      </c>
    </row>
    <row r="47" spans="1:13" x14ac:dyDescent="0.3">
      <c r="A47" s="2"/>
      <c r="F47" s="20">
        <v>1</v>
      </c>
      <c r="G47" s="20">
        <v>2</v>
      </c>
      <c r="H47" s="20">
        <v>3</v>
      </c>
    </row>
    <row r="48" spans="1:13" x14ac:dyDescent="0.3">
      <c r="A48" s="2"/>
    </row>
    <row r="49" spans="1:9" x14ac:dyDescent="0.3">
      <c r="A49" s="2" t="s">
        <v>36</v>
      </c>
      <c r="B49" t="b">
        <f>C49=D49</f>
        <v>1</v>
      </c>
      <c r="C49" t="str">
        <f>H50</f>
        <v>Foo</v>
      </c>
      <c r="D49" s="7" t="str">
        <f>pyTestFrameFetch(I49,0,"B")</f>
        <v>Foo</v>
      </c>
      <c r="F49" s="19" t="s">
        <v>37</v>
      </c>
      <c r="G49" s="19" t="s">
        <v>34</v>
      </c>
      <c r="H49" s="19" t="s">
        <v>29</v>
      </c>
      <c r="I49" s="21" t="str">
        <f>pyTestDFrameIndex(F49:H51)</f>
        <v>欣[PythonTest.xlsm]Test1!R49C9,A</v>
      </c>
    </row>
    <row r="50" spans="1:9" x14ac:dyDescent="0.3">
      <c r="A50" s="2"/>
      <c r="B50" t="b">
        <f t="shared" ref="B50:B51" si="0">C50=D50</f>
        <v>1</v>
      </c>
      <c r="C50">
        <f>G51</f>
        <v>2.1</v>
      </c>
      <c r="D50" s="7">
        <f t="array" ref="D50:D51">pyTestFrameFetch(I49,1)</f>
        <v>2.1</v>
      </c>
      <c r="F50" s="19">
        <v>0</v>
      </c>
      <c r="G50" s="19">
        <v>5.3</v>
      </c>
      <c r="H50" s="19" t="s">
        <v>17</v>
      </c>
    </row>
    <row r="51" spans="1:9" x14ac:dyDescent="0.3">
      <c r="A51" s="2"/>
      <c r="B51" t="b">
        <f t="shared" si="0"/>
        <v>1</v>
      </c>
      <c r="C51" t="str">
        <f>H51</f>
        <v>Bar</v>
      </c>
      <c r="D51" s="7" t="str">
        <v>Bar</v>
      </c>
      <c r="F51" s="19">
        <v>1</v>
      </c>
      <c r="G51" s="19">
        <v>2.1</v>
      </c>
      <c r="H51" s="19" t="s">
        <v>18</v>
      </c>
    </row>
    <row r="52" spans="1:9" x14ac:dyDescent="0.3">
      <c r="A52" s="2"/>
    </row>
    <row r="53" spans="1:9" x14ac:dyDescent="0.3">
      <c r="A53" s="2" t="s">
        <v>57</v>
      </c>
      <c r="B53" t="b">
        <f t="array" ref="B53">SUM((D53:F55=F49:H51)+0)=9</f>
        <v>1</v>
      </c>
      <c r="D53" s="7" t="str">
        <f t="array" ref="D53:F55">pyTestFrameFetch(I49)</f>
        <v>Time</v>
      </c>
      <c r="E53" s="7" t="str">
        <v>A</v>
      </c>
      <c r="F53" s="28" t="str">
        <v>B</v>
      </c>
    </row>
    <row r="54" spans="1:9" x14ac:dyDescent="0.3">
      <c r="D54" s="7">
        <v>0</v>
      </c>
      <c r="E54" s="7">
        <v>5.3</v>
      </c>
      <c r="F54" s="28" t="str">
        <v>Foo</v>
      </c>
    </row>
    <row r="55" spans="1:9" x14ac:dyDescent="0.3">
      <c r="D55" s="7">
        <v>1</v>
      </c>
      <c r="E55" s="7">
        <v>2.1</v>
      </c>
      <c r="F55" s="28" t="str">
        <v>Bar</v>
      </c>
    </row>
    <row r="58" spans="1:9" x14ac:dyDescent="0.3">
      <c r="A58" s="2" t="s">
        <v>38</v>
      </c>
      <c r="B58" t="b">
        <f>C58=D58</f>
        <v>1</v>
      </c>
      <c r="C58" s="3">
        <f>F58+1</f>
        <v>42737</v>
      </c>
      <c r="D58" s="8">
        <f>pyTestDate(F58)</f>
        <v>42737</v>
      </c>
      <c r="E58" s="14"/>
      <c r="F58" s="22">
        <v>42736</v>
      </c>
    </row>
    <row r="59" spans="1:9" x14ac:dyDescent="0.3">
      <c r="B59" t="b">
        <f>D59=C59</f>
        <v>1</v>
      </c>
      <c r="C59" s="3">
        <v>42768</v>
      </c>
      <c r="D59" s="8">
        <f>pyTestDate(F59)</f>
        <v>42768</v>
      </c>
      <c r="E59" s="14"/>
      <c r="F59" s="23" t="s">
        <v>39</v>
      </c>
    </row>
    <row r="62" spans="1:9" x14ac:dyDescent="0.3">
      <c r="A62" s="2" t="s">
        <v>46</v>
      </c>
      <c r="C62" s="24" t="e">
        <f ca="1">_xll.pyGetUrl(D62)</f>
        <v>#VALUE!</v>
      </c>
      <c r="D62" t="s">
        <v>44</v>
      </c>
    </row>
    <row r="63" spans="1:9" x14ac:dyDescent="0.3">
      <c r="A63" s="5"/>
      <c r="C63" s="24" t="e">
        <f ca="1">_xll.pyGetUrl(D63)</f>
        <v>#VALUE!</v>
      </c>
      <c r="D63" t="s">
        <v>45</v>
      </c>
    </row>
    <row r="64" spans="1:9" x14ac:dyDescent="0.3">
      <c r="A64" s="2" t="s">
        <v>48</v>
      </c>
      <c r="C64" s="24" t="e">
        <f ca="1">_xll.pyGetUrlLive(D64)</f>
        <v>#VALUE!</v>
      </c>
      <c r="D64" s="27" t="s">
        <v>47</v>
      </c>
    </row>
    <row r="67" spans="1:8" x14ac:dyDescent="0.3">
      <c r="A67" s="2" t="s">
        <v>49</v>
      </c>
      <c r="C67" s="12"/>
      <c r="D67" t="s">
        <v>50</v>
      </c>
      <c r="E67" s="5">
        <v>3</v>
      </c>
      <c r="F67" s="5">
        <v>1</v>
      </c>
      <c r="G67" s="5">
        <v>4</v>
      </c>
    </row>
    <row r="68" spans="1:8" x14ac:dyDescent="0.3">
      <c r="A68" t="s">
        <v>56</v>
      </c>
      <c r="C68" s="12"/>
      <c r="D68" t="s">
        <v>51</v>
      </c>
      <c r="E68" s="5">
        <v>3</v>
      </c>
      <c r="F68" s="5">
        <v>2</v>
      </c>
      <c r="G68" s="5">
        <v>7</v>
      </c>
    </row>
    <row r="69" spans="1:8" x14ac:dyDescent="0.3">
      <c r="C69" s="12"/>
      <c r="D69" t="s">
        <v>52</v>
      </c>
      <c r="E69" s="5">
        <v>500</v>
      </c>
      <c r="F69" s="5">
        <f>E69</f>
        <v>500</v>
      </c>
      <c r="G69" s="5">
        <f>E69</f>
        <v>500</v>
      </c>
    </row>
    <row r="70" spans="1:8" x14ac:dyDescent="0.3">
      <c r="C70" s="12"/>
      <c r="D70" t="s">
        <v>53</v>
      </c>
      <c r="E70" s="5">
        <f>E69</f>
        <v>500</v>
      </c>
      <c r="F70" s="5">
        <f t="shared" ref="F70:F72" si="1">E70</f>
        <v>500</v>
      </c>
      <c r="G70" s="5">
        <f t="shared" ref="G70:G72" si="2">E70</f>
        <v>500</v>
      </c>
    </row>
    <row r="71" spans="1:8" x14ac:dyDescent="0.3">
      <c r="C71" s="12"/>
      <c r="D71" t="s">
        <v>54</v>
      </c>
      <c r="E71" s="5">
        <f>E70</f>
        <v>500</v>
      </c>
      <c r="F71" s="5">
        <f t="shared" si="1"/>
        <v>500</v>
      </c>
      <c r="G71" s="5">
        <f t="shared" si="2"/>
        <v>500</v>
      </c>
    </row>
    <row r="72" spans="1:8" x14ac:dyDescent="0.3">
      <c r="C72" s="12"/>
      <c r="D72" t="s">
        <v>55</v>
      </c>
      <c r="E72" s="5">
        <f>E71</f>
        <v>500</v>
      </c>
      <c r="F72" s="5">
        <f t="shared" si="1"/>
        <v>500</v>
      </c>
      <c r="G72" s="5">
        <f t="shared" si="2"/>
        <v>500</v>
      </c>
    </row>
    <row r="73" spans="1:8" x14ac:dyDescent="0.3">
      <c r="E73" s="7" t="e">
        <f ca="1">_xll.pyThreadTest(E67,E68,E69,E70,E71,E72)</f>
        <v>#VALUE!</v>
      </c>
      <c r="F73" s="7" t="e">
        <f ca="1">_xll.pyThreadTest(F67,F68,F69,F70,F71,F72)</f>
        <v>#VALUE!</v>
      </c>
      <c r="G73" s="7" t="e">
        <f ca="1">_xll.pyThreadTest(G67,G68,G69,G70,G71,G72)</f>
        <v>#VALUE!</v>
      </c>
    </row>
    <row r="75" spans="1:8" x14ac:dyDescent="0.3">
      <c r="A75" s="2" t="s">
        <v>58</v>
      </c>
      <c r="B75" t="e">
        <f ca="1">C75=D77</f>
        <v>#VALUE!</v>
      </c>
      <c r="C75" t="s">
        <v>59</v>
      </c>
      <c r="D75" t="str">
        <f>pyWbPath()</f>
        <v>C:\Users\Steven\dev\xloil\tests\python\</v>
      </c>
    </row>
    <row r="76" spans="1:8" x14ac:dyDescent="0.3">
      <c r="A76" t="s">
        <v>60</v>
      </c>
      <c r="D76" t="e">
        <f ca="1">_xll.xloPyLoad(D75&amp;"TestModule.py")</f>
        <v>#VALUE!</v>
      </c>
    </row>
    <row r="77" spans="1:8" x14ac:dyDescent="0.3">
      <c r="D77" s="7" t="e">
        <f ca="1">_xll.pyTestLoadMod()</f>
        <v>#VALUE!</v>
      </c>
    </row>
    <row r="80" spans="1:8" x14ac:dyDescent="0.3">
      <c r="A80" s="2" t="s">
        <v>61</v>
      </c>
      <c r="B80" t="b">
        <f>AND(D80=F80+1, D81=G80+1, D82=H80+1,D83=F81+1,D84=G81+1)</f>
        <v>1</v>
      </c>
      <c r="D80" s="28">
        <f t="array" ref="D80:D84">pyTestDateConv(F80:H81)</f>
        <v>43001</v>
      </c>
      <c r="F80" s="31">
        <v>43000</v>
      </c>
      <c r="G80" s="31">
        <v>44000</v>
      </c>
      <c r="H80" s="31">
        <v>45000.66</v>
      </c>
    </row>
    <row r="81" spans="2:8" x14ac:dyDescent="0.3">
      <c r="D81" s="7">
        <v>44001</v>
      </c>
      <c r="F81" s="31">
        <f>G80</f>
        <v>44000</v>
      </c>
      <c r="G81" s="31">
        <v>37000</v>
      </c>
      <c r="H81" s="31">
        <f>H80</f>
        <v>45000.66</v>
      </c>
    </row>
    <row r="82" spans="2:8" x14ac:dyDescent="0.3">
      <c r="D82" s="7">
        <v>45001.66</v>
      </c>
    </row>
    <row r="83" spans="2:8" x14ac:dyDescent="0.3">
      <c r="D83" s="7">
        <v>44001</v>
      </c>
    </row>
    <row r="84" spans="2:8" x14ac:dyDescent="0.3">
      <c r="B84" s="29"/>
      <c r="C84" s="29"/>
      <c r="D84" s="32">
        <v>37001</v>
      </c>
      <c r="E84" s="30"/>
    </row>
    <row r="85" spans="2:8" x14ac:dyDescent="0.3">
      <c r="B85" s="29"/>
      <c r="C85" s="29"/>
      <c r="D85" s="29"/>
      <c r="E85" s="30"/>
    </row>
    <row r="86" spans="2:8" x14ac:dyDescent="0.3">
      <c r="B86" s="29"/>
      <c r="C86" s="29"/>
      <c r="D86" s="29"/>
      <c r="E86" s="30"/>
    </row>
    <row r="87" spans="2:8" x14ac:dyDescent="0.3">
      <c r="B87" s="29"/>
      <c r="C87" s="29"/>
      <c r="D87" s="29"/>
      <c r="E87" s="30"/>
    </row>
    <row r="88" spans="2:8" x14ac:dyDescent="0.3">
      <c r="B88" s="29"/>
      <c r="C88" s="29"/>
      <c r="D88" s="29"/>
      <c r="E88" s="30"/>
    </row>
    <row r="89" spans="2:8" x14ac:dyDescent="0.3">
      <c r="B89" s="29"/>
      <c r="C89" s="29"/>
      <c r="D89" s="29"/>
      <c r="E89" s="30"/>
    </row>
  </sheetData>
  <conditionalFormatting sqref="B4:B52 B58:B59">
    <cfRule type="expression" dxfId="0" priority="1">
      <formula>IFERROR(NOT(OR(ISBLANK(B4),B4)),TRUE)</formula>
    </cfRule>
  </conditionalFormatting>
  <hyperlinks>
    <hyperlink ref="D64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32</v>
      </c>
      <c r="E2" t="s">
        <v>29</v>
      </c>
    </row>
    <row r="3" spans="2:5" x14ac:dyDescent="0.3">
      <c r="D3" t="s">
        <v>30</v>
      </c>
      <c r="E3" t="s">
        <v>31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2020-12-03T19:34:10Z</dcterms:modified>
</cp:coreProperties>
</file>