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75A97A13-63E0-4471-8F93-9908F3C55E0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111" i="1"/>
  <c r="C97" i="1"/>
  <c r="C96" i="1"/>
  <c r="C105" i="1"/>
  <c r="C106" i="1" s="1"/>
  <c r="C107" i="1" s="1"/>
  <c r="C69" i="1"/>
  <c r="D81" i="1"/>
  <c r="D33" i="1"/>
  <c r="D105" i="1"/>
  <c r="D109" i="1"/>
  <c r="D111" i="1"/>
  <c r="D11" i="1"/>
  <c r="D110" i="1"/>
  <c r="D106" i="1"/>
  <c r="D100" i="1"/>
  <c r="D103" i="1"/>
  <c r="D92" i="1"/>
  <c r="D32" i="1"/>
  <c r="C100" i="1"/>
  <c r="D93" i="1"/>
  <c r="D107" i="1"/>
  <c r="D102" i="1"/>
  <c r="D96" i="1"/>
  <c r="D97" i="1"/>
  <c r="B33" i="1" l="1"/>
  <c r="B111" i="1"/>
  <c r="C109" i="1"/>
  <c r="B109" i="1" s="1"/>
  <c r="B110" i="1"/>
  <c r="B97" i="1"/>
  <c r="B107" i="1"/>
  <c r="B96" i="1"/>
  <c r="B106" i="1"/>
  <c r="B105" i="1"/>
  <c r="B102" i="1"/>
  <c r="B103" i="1"/>
  <c r="B100" i="1"/>
  <c r="B92" i="1"/>
  <c r="C37" i="1"/>
  <c r="C43" i="1"/>
  <c r="D37" i="1"/>
  <c r="B37" i="1" l="1"/>
  <c r="H86" i="1"/>
  <c r="F86" i="1"/>
  <c r="D82" i="1"/>
  <c r="D85" i="1" a="1"/>
  <c r="D80" i="1"/>
  <c r="D87" i="1" l="1"/>
  <c r="D88" i="1"/>
  <c r="D89" i="1"/>
  <c r="D85" i="1"/>
  <c r="D86" i="1"/>
  <c r="B80" i="1"/>
  <c r="D27" i="1" a="1"/>
  <c r="B85" i="1" l="1"/>
  <c r="D27" i="1"/>
  <c r="E28" i="1"/>
  <c r="B28" i="1" s="1"/>
  <c r="E27" i="1"/>
  <c r="B27" i="1" s="1"/>
  <c r="D28" i="1"/>
  <c r="E75" i="1"/>
  <c r="F75" i="1" s="1"/>
  <c r="G74" i="1"/>
  <c r="F74" i="1"/>
  <c r="E76" i="1" l="1"/>
  <c r="F76" i="1" s="1"/>
  <c r="G75" i="1"/>
  <c r="G76" i="1" l="1"/>
  <c r="E77" i="1"/>
  <c r="D43" i="1"/>
  <c r="D31" i="1"/>
  <c r="C67" i="1"/>
  <c r="C68" i="1"/>
  <c r="F77" i="1" l="1"/>
  <c r="G77" i="1"/>
  <c r="G78" i="1" s="1"/>
  <c r="C63" i="1"/>
  <c r="F78" i="1"/>
  <c r="E78" i="1"/>
  <c r="D10" i="1"/>
  <c r="D64" i="1"/>
  <c r="B72" i="1" l="1"/>
  <c r="B64" i="1"/>
  <c r="D6" i="1"/>
  <c r="D63" i="1"/>
  <c r="B63" i="1" l="1"/>
  <c r="C54" i="1"/>
  <c r="C53" i="1"/>
  <c r="C52" i="1"/>
  <c r="C49" i="1"/>
  <c r="C47" i="1"/>
  <c r="C31" i="1"/>
  <c r="C32" i="1" s="1"/>
  <c r="C23" i="1"/>
  <c r="C24" i="1" s="1"/>
  <c r="C19" i="1" a="1"/>
  <c r="C19" i="1" s="1"/>
  <c r="C16" i="1"/>
  <c r="C15" i="1"/>
  <c r="C17" i="1" s="1"/>
  <c r="D23" i="1"/>
  <c r="D12" i="1"/>
  <c r="D15" i="1"/>
  <c r="D7" i="1"/>
  <c r="I52" i="1"/>
  <c r="D35" i="1"/>
  <c r="D20" i="1"/>
  <c r="C41" i="1"/>
  <c r="D17" i="1"/>
  <c r="D16" i="1"/>
  <c r="D19" i="1"/>
  <c r="D24" i="1"/>
  <c r="D13" i="1"/>
  <c r="D46" i="1"/>
  <c r="D9" i="1"/>
  <c r="I49" i="1"/>
  <c r="D47" i="1"/>
  <c r="D39" i="1"/>
  <c r="C10" i="1"/>
  <c r="B10" i="1" l="1"/>
  <c r="B39" i="1"/>
  <c r="B23" i="1"/>
  <c r="B9" i="1"/>
  <c r="B15" i="1"/>
  <c r="B31" i="1"/>
  <c r="B46" i="1"/>
  <c r="B32" i="1"/>
  <c r="B11" i="1"/>
  <c r="B12" i="1"/>
  <c r="B6" i="1"/>
  <c r="B16" i="1"/>
  <c r="B7" i="1"/>
  <c r="B13" i="1"/>
  <c r="B20" i="1"/>
  <c r="B47" i="1"/>
  <c r="B19" i="1"/>
  <c r="B17" i="1"/>
  <c r="B24" i="1"/>
  <c r="B43" i="1"/>
  <c r="D49" i="1"/>
  <c r="D56" i="1" a="1"/>
  <c r="D60" i="1" a="1"/>
  <c r="D53" i="1" a="1"/>
  <c r="D52" i="1"/>
  <c r="D36" i="1"/>
  <c r="B3" i="1" l="1"/>
  <c r="F60" i="1"/>
  <c r="E61" i="1"/>
  <c r="F61" i="1"/>
  <c r="E60" i="1"/>
  <c r="D61" i="1"/>
  <c r="D60" i="1"/>
  <c r="F57" i="1"/>
  <c r="D58" i="1"/>
  <c r="D57" i="1"/>
  <c r="D56" i="1"/>
  <c r="F56" i="1"/>
  <c r="E57" i="1"/>
  <c r="F58" i="1"/>
  <c r="E56" i="1"/>
  <c r="E58" i="1"/>
  <c r="B49" i="1"/>
  <c r="D53" i="1"/>
  <c r="B53" i="1" s="1"/>
  <c r="D54" i="1"/>
  <c r="B54" i="1" s="1"/>
  <c r="B52" i="1"/>
  <c r="B36" i="1"/>
  <c r="B60" i="1" l="1" a="1"/>
  <c r="B60" i="1" s="1"/>
  <c r="B56" i="1" a="1"/>
  <c r="B56" i="1" s="1"/>
</calcChain>
</file>

<file path=xl/sharedStrings.xml><?xml version="1.0" encoding="utf-8"?>
<sst xmlns="http://schemas.openxmlformats.org/spreadsheetml/2006/main" count="82" uniqueCount="74">
  <si>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</si>
  <si>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</si>
  <si>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</si>
  <si>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</si>
  <si>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</si>
  <si>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</si>
  <si>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</si>
  <si>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</si>
  <si>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</si>
  <si>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</si>
  <si>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</si>
  <si>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</si>
  <si>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</si>
  <si>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</si>
  <si>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</si>
  <si>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</si>
  <si>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</si>
  <si>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</si>
  <si>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</si>
  <si>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</si>
  <si>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</si>
  <si>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</si>
  <si>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</si>
  <si>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</si>
  <si>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</si>
  <si>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</si>
  <si>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</si>
  <si>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</si>
  <si>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</si>
  <si>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</si>
  <si>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</si>
  <si>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</si>
  <si>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</si>
  <si>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</si>
  <si>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</si>
  <si>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</si>
  <si>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</si>
  <si>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</si>
  <si>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</si>
  <si>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</si>
  <si>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</si>
  <si>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</si>
  <si>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</si>
  <si>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</si>
  <si>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</si>
  <si>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</si>
  <si>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</si>
  <si>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</si>
  <si>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</si>
  <si>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</si>
  <si>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</si>
  <si>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</si>
  <si>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</si>
  <si>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</si>
  <si>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</si>
  <si>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</si>
  <si>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</si>
  <si>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</si>
  <si>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</si>
  <si>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</si>
  <si>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</si>
  <si>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</si>
  <si>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</si>
  <si>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</si>
  <si>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</si>
  <si>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</si>
  <si>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</si>
  <si>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</si>
  <si>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</si>
  <si>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</si>
  <si>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=pyTestAsyncGen(2)</t>
  </si>
  <si>
    <t>OK</t>
  </si>
  <si>
    <t>pyTestRtdArray</t>
  </si>
  <si>
    <t>Calc on Test1 finished at: 2022-01-25 16:37:50.590856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</si>
</sst>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11"/>
  <sheetViews>
    <sheetView showGridLines="0" tabSelected="1" topLeftCell="A71" workbookViewId="0">
      <selection activeCell="D82" sqref="D8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8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73</v>
      </c>
      <c r="B1" s="6"/>
      <c r="C1" s="6"/>
      <c r="D1" s="26" t="s">
        <v>70</v>
      </c>
      <c r="F1" s="36"/>
      <c r="G1" t="s">
        <v>71</v>
      </c>
      <c r="H1" t="s">
        <v>69</v>
      </c>
      <c r="I1" t="s">
        <v>69</v>
      </c>
      <c r="J1" t="s">
        <v>69</v>
      </c>
      <c r="K1" s="38" t="s">
        <v>69</v>
      </c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64</v>
      </c>
      <c r="B3" s="35" t="b">
        <f ca="1">AND(B6:B200)</f>
        <v>1</v>
      </c>
      <c r="C3" s="34" t="s">
        <v>65</v>
      </c>
      <c r="D3" s="35" t="b">
        <f>G1="OK"</f>
        <v>1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b">
        <f>C17=D17</f>
        <v>1</v>
      </c>
      <c r="C17">
        <f>C15</f>
        <v>6</v>
      </c>
      <c r="D17" s="7">
        <f>SUM(pyRoundTrip(_xll.xloRef(F15:H15)))</f>
        <v>6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b">
        <f>C24=D24</f>
        <v>1</v>
      </c>
      <c r="C24">
        <f>C23</f>
        <v>10</v>
      </c>
      <c r="D24" s="7">
        <f>SUM(pyTestArr2d(_xll.xloRef(F23:G24)))</f>
        <v>10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/>
    </row>
    <row r="31" spans="1:9" x14ac:dyDescent="0.3">
      <c r="A31" s="2" t="s">
        <v>22</v>
      </c>
      <c r="B31" t="b">
        <f>C31=D31</f>
        <v>1</v>
      </c>
      <c r="C31" t="str">
        <f>F31</f>
        <v>foo</v>
      </c>
      <c r="D31" s="9" t="str">
        <f>_xll.pyTestAsync(F31,1)</f>
        <v>foo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3" spans="1:13" x14ac:dyDescent="0.3">
      <c r="A33" s="2" t="s">
        <v>72</v>
      </c>
      <c r="B33" t="b">
        <f>C33=D33</f>
        <v>1</v>
      </c>
      <c r="C33">
        <v>6</v>
      </c>
      <c r="D33" s="9">
        <f>pyRtdArray(F33:H33)</f>
        <v>6</v>
      </c>
      <c r="F33" s="5">
        <v>1</v>
      </c>
      <c r="G33" s="5">
        <v>2</v>
      </c>
      <c r="H33" s="5">
        <v>3</v>
      </c>
    </row>
    <row r="35" spans="1:13" x14ac:dyDescent="0.3">
      <c r="A35" s="2" t="s">
        <v>25</v>
      </c>
      <c r="D35" s="5" t="str">
        <f>pyTestCache()</f>
        <v>欣[PythonTest.xlsm]Test1!R35C4CustomObj,A</v>
      </c>
    </row>
    <row r="36" spans="1:13" x14ac:dyDescent="0.3">
      <c r="B36" t="b">
        <f>C36=D36</f>
        <v>1</v>
      </c>
      <c r="C36" t="s">
        <v>24</v>
      </c>
      <c r="D36" s="7" t="str">
        <f>pyTestCache(D35)</f>
        <v>Hello world</v>
      </c>
      <c r="M36" s="5"/>
    </row>
    <row r="37" spans="1:13" x14ac:dyDescent="0.3">
      <c r="A37" s="2" t="s">
        <v>60</v>
      </c>
      <c r="B37" t="b">
        <f>INDEX(_xll.xloVal(D37),1,1)=C37</f>
        <v>1</v>
      </c>
      <c r="C37" t="str">
        <f>G27</f>
        <v>Foo</v>
      </c>
      <c r="D37" s="7" t="str">
        <f>pyTestToCache(G27:H28)</f>
        <v>永[PythonTest.xlsm]Test1!R37C4,A</v>
      </c>
      <c r="M37" s="5"/>
    </row>
    <row r="38" spans="1:13" x14ac:dyDescent="0.3">
      <c r="M38" s="5"/>
    </row>
    <row r="39" spans="1:13" x14ac:dyDescent="0.3">
      <c r="A39" s="2" t="s">
        <v>28</v>
      </c>
      <c r="B39" t="b">
        <f>C39=D39</f>
        <v>1</v>
      </c>
      <c r="C39">
        <v>4</v>
      </c>
      <c r="D39" s="7">
        <f>SUM(pyTestIter(4,1))</f>
        <v>4</v>
      </c>
      <c r="M39" s="5"/>
    </row>
    <row r="40" spans="1:13" x14ac:dyDescent="0.3">
      <c r="M40" s="5"/>
    </row>
    <row r="41" spans="1:13" x14ac:dyDescent="0.3">
      <c r="A41" s="2" t="s">
        <v>39</v>
      </c>
      <c r="C41" t="str">
        <f>pyTestCom()</f>
        <v>{90160000-000F-0000-1000-0000000FF1CE}</v>
      </c>
      <c r="M41" s="5"/>
    </row>
    <row r="42" spans="1:13" x14ac:dyDescent="0.3">
      <c r="A42" s="2"/>
      <c r="M42" s="5"/>
    </row>
    <row r="43" spans="1:13" x14ac:dyDescent="0.3">
      <c r="A43" s="2" t="s">
        <v>40</v>
      </c>
      <c r="B43" t="b">
        <f ca="1">C43=D43</f>
        <v>1</v>
      </c>
      <c r="C43" s="4" t="str">
        <f ca="1">MID(CELL("filename"),FIND("[",CELL("filename")),100)&amp;"!"&amp;ADDRESS(ROW(G44),COLUMN(G44),4)</f>
        <v>[PythonTest.xlsm]Test1!G44</v>
      </c>
      <c r="D43" s="10" t="str">
        <f>pyTestRange(F43:G44)</f>
        <v>[PythonTest.xlsm]Test1!G44</v>
      </c>
      <c r="E43" s="16"/>
      <c r="F43" s="19">
        <v>1</v>
      </c>
      <c r="G43" s="19">
        <v>2</v>
      </c>
      <c r="M43" s="5"/>
    </row>
    <row r="44" spans="1:13" x14ac:dyDescent="0.3">
      <c r="A44" s="2"/>
      <c r="F44" s="19">
        <v>3</v>
      </c>
      <c r="G44" s="19">
        <v>4</v>
      </c>
      <c r="M44" s="5"/>
    </row>
    <row r="45" spans="1:13" x14ac:dyDescent="0.3">
      <c r="A45" s="2"/>
      <c r="M45" s="5"/>
    </row>
    <row r="46" spans="1:13" x14ac:dyDescent="0.3">
      <c r="A46" s="2" t="s">
        <v>31</v>
      </c>
      <c r="B46" t="b">
        <f>C46=D46</f>
        <v>1</v>
      </c>
      <c r="C46">
        <v>2</v>
      </c>
      <c r="D46" s="7">
        <f>pyTestCustomConv(1)</f>
        <v>2</v>
      </c>
    </row>
    <row r="47" spans="1:13" x14ac:dyDescent="0.3">
      <c r="A47" s="2"/>
      <c r="B47" t="b">
        <f>C47=D47</f>
        <v>1</v>
      </c>
      <c r="C47">
        <f>2*SUM(F47:G47)</f>
        <v>14</v>
      </c>
      <c r="D47" s="7">
        <f>SUM(pyTestCustomConv(F47:G47))</f>
        <v>14</v>
      </c>
      <c r="F47" s="19">
        <v>3</v>
      </c>
      <c r="G47" s="19">
        <v>4</v>
      </c>
    </row>
    <row r="48" spans="1:13" x14ac:dyDescent="0.3">
      <c r="A48" s="2"/>
    </row>
    <row r="49" spans="1:9" x14ac:dyDescent="0.3">
      <c r="A49" s="2" t="s">
        <v>33</v>
      </c>
      <c r="B49" t="b">
        <f>C49=D49</f>
        <v>1</v>
      </c>
      <c r="C49">
        <f>G50</f>
        <v>2</v>
      </c>
      <c r="D49" s="7">
        <f>pyTestFrameFetch(I49,,"B")</f>
        <v>2</v>
      </c>
      <c r="F49" s="20" t="s">
        <v>32</v>
      </c>
      <c r="G49" s="20" t="s">
        <v>29</v>
      </c>
      <c r="H49" s="20" t="s">
        <v>30</v>
      </c>
      <c r="I49" s="21" t="str">
        <f>pyTestDFrame(F49:H50)</f>
        <v>欣[PythonTest.xlsm]Test1!R49C9DataFrame,A</v>
      </c>
    </row>
    <row r="50" spans="1:9" x14ac:dyDescent="0.3">
      <c r="A50" s="2"/>
      <c r="F50" s="20">
        <v>1</v>
      </c>
      <c r="G50" s="20">
        <v>2</v>
      </c>
      <c r="H50" s="20">
        <v>3</v>
      </c>
    </row>
    <row r="51" spans="1:9" x14ac:dyDescent="0.3">
      <c r="A51" s="2"/>
    </row>
    <row r="52" spans="1:9" x14ac:dyDescent="0.3">
      <c r="A52" s="2" t="s">
        <v>34</v>
      </c>
      <c r="B52" t="b">
        <f>C52=D52</f>
        <v>1</v>
      </c>
      <c r="C52" t="str">
        <f>H53</f>
        <v>Foo</v>
      </c>
      <c r="D52" s="7" t="str">
        <f>pyTestFrameFetch(I52,0,"B")</f>
        <v>Foo</v>
      </c>
      <c r="F52" s="19" t="s">
        <v>35</v>
      </c>
      <c r="G52" s="19" t="s">
        <v>32</v>
      </c>
      <c r="H52" s="19" t="s">
        <v>29</v>
      </c>
      <c r="I52" s="21" t="str">
        <f>pyTestDFrameIndex(F52:H54)</f>
        <v>欣[PythonTest.xlsm]Test1!R52C9,A</v>
      </c>
    </row>
    <row r="53" spans="1:9" x14ac:dyDescent="0.3">
      <c r="A53" s="2"/>
      <c r="B53" t="b">
        <f t="shared" ref="B53:B54" si="0">C53=D53</f>
        <v>1</v>
      </c>
      <c r="C53">
        <f>G54</f>
        <v>2.1</v>
      </c>
      <c r="D53" s="7">
        <f t="array" ref="D53:D54">pyTestFrameFetch(I52,1)</f>
        <v>2.1</v>
      </c>
      <c r="F53" s="19">
        <v>0</v>
      </c>
      <c r="G53" s="19">
        <v>5.3</v>
      </c>
      <c r="H53" s="19" t="s">
        <v>17</v>
      </c>
    </row>
    <row r="54" spans="1:9" x14ac:dyDescent="0.3">
      <c r="A54" s="2"/>
      <c r="B54" t="b">
        <f t="shared" si="0"/>
        <v>1</v>
      </c>
      <c r="C54" t="str">
        <f>H54</f>
        <v>Bar</v>
      </c>
      <c r="D54" s="7" t="str">
        <v>Bar</v>
      </c>
      <c r="F54" s="19">
        <v>1</v>
      </c>
      <c r="G54" s="19">
        <v>2.1</v>
      </c>
      <c r="H54" s="19" t="s">
        <v>18</v>
      </c>
    </row>
    <row r="55" spans="1:9" x14ac:dyDescent="0.3">
      <c r="A55" s="2"/>
    </row>
    <row r="56" spans="1:9" x14ac:dyDescent="0.3">
      <c r="A56" s="2" t="s">
        <v>55</v>
      </c>
      <c r="B56" t="b">
        <f t="array" ref="B56">SUM((D56:F58=F52:H54)+0)=9</f>
        <v>1</v>
      </c>
      <c r="D56" s="7" t="str">
        <f t="array" ref="D56:F58">pyTestFrameFetch(I52)</f>
        <v>Time</v>
      </c>
      <c r="E56" s="7" t="str">
        <v>A</v>
      </c>
      <c r="F56" s="28" t="str">
        <v>B</v>
      </c>
    </row>
    <row r="57" spans="1:9" x14ac:dyDescent="0.3">
      <c r="D57" s="7">
        <v>0</v>
      </c>
      <c r="E57" s="7">
        <v>5.3</v>
      </c>
      <c r="F57" s="28" t="str">
        <v>Foo</v>
      </c>
    </row>
    <row r="58" spans="1:9" x14ac:dyDescent="0.3">
      <c r="D58" s="7">
        <v>1</v>
      </c>
      <c r="E58" s="7">
        <v>2.1</v>
      </c>
      <c r="F58" s="28" t="str">
        <v>Bar</v>
      </c>
    </row>
    <row r="59" spans="1:9" x14ac:dyDescent="0.3">
      <c r="E59"/>
      <c r="F59"/>
    </row>
    <row r="60" spans="1:9" x14ac:dyDescent="0.3">
      <c r="B60" t="b">
        <f t="array" ref="B60">SUM((D60:F61=F52:H53)+0)=6</f>
        <v>1</v>
      </c>
      <c r="D60" s="7" t="str">
        <f t="array" ref="D60:F61">pyTestFrameWrite(I52)</f>
        <v>Time</v>
      </c>
      <c r="E60" s="7" t="str">
        <v>A</v>
      </c>
      <c r="F60" s="28" t="str">
        <v>B</v>
      </c>
    </row>
    <row r="61" spans="1:9" x14ac:dyDescent="0.3">
      <c r="D61" s="7">
        <v>0</v>
      </c>
      <c r="E61" s="7">
        <v>5.3</v>
      </c>
      <c r="F61" s="7" t="str">
        <v>Foo</v>
      </c>
    </row>
    <row r="63" spans="1:9" x14ac:dyDescent="0.3">
      <c r="A63" s="2" t="s">
        <v>36</v>
      </c>
      <c r="B63" t="b">
        <f>C63=D63</f>
        <v>1</v>
      </c>
      <c r="C63" s="3">
        <f>F63+1</f>
        <v>42737</v>
      </c>
      <c r="D63" s="8">
        <f>pyTestDate(F63)</f>
        <v>42737</v>
      </c>
      <c r="E63" s="14"/>
      <c r="F63" s="22">
        <v>42736</v>
      </c>
    </row>
    <row r="64" spans="1:9" x14ac:dyDescent="0.3">
      <c r="B64" t="b">
        <f>D64=C64</f>
        <v>1</v>
      </c>
      <c r="C64" s="3">
        <v>42768</v>
      </c>
      <c r="D64" s="8">
        <f>pyTestDate(F64)</f>
        <v>42768</v>
      </c>
      <c r="E64" s="14"/>
      <c r="F64" s="23" t="s">
        <v>37</v>
      </c>
    </row>
    <row r="67" spans="1:7" x14ac:dyDescent="0.3">
      <c r="A67" s="2" t="s">
        <v>44</v>
      </c>
      <c r="C67" s="24" t="str">
        <f>_xll.pyGetUrl(D67)</f>
        <v>You need to install aiohttp</v>
      </c>
      <c r="D67" t="s">
        <v>42</v>
      </c>
    </row>
    <row r="68" spans="1:7" x14ac:dyDescent="0.3">
      <c r="A68" s="5"/>
      <c r="C68" s="24" t="str">
        <f>_xll.pyGetUrl(D68)</f>
        <v>You need to install aiohttp</v>
      </c>
      <c r="D68" t="s">
        <v>43</v>
      </c>
    </row>
    <row r="69" spans="1:7" x14ac:dyDescent="0.3">
      <c r="A69" s="2" t="s">
        <v>46</v>
      </c>
      <c r="C69" s="24" t="e">
        <f ca="1">_xll.pyGetUrlLive(D69)</f>
        <v>#NAME?</v>
      </c>
      <c r="D69" s="27" t="s">
        <v>45</v>
      </c>
    </row>
    <row r="72" spans="1:7" x14ac:dyDescent="0.3">
      <c r="A72" s="2" t="s">
        <v>47</v>
      </c>
      <c r="B72" t="b">
        <f>E78&lt;&gt;F78</f>
        <v>1</v>
      </c>
      <c r="C72" s="12"/>
      <c r="D72" t="s">
        <v>48</v>
      </c>
      <c r="E72" s="5">
        <v>3</v>
      </c>
      <c r="F72" s="5">
        <v>1</v>
      </c>
      <c r="G72" s="5">
        <v>4</v>
      </c>
    </row>
    <row r="73" spans="1:7" x14ac:dyDescent="0.3">
      <c r="A73" t="s">
        <v>54</v>
      </c>
      <c r="C73" s="12"/>
      <c r="D73" t="s">
        <v>49</v>
      </c>
      <c r="E73" s="5">
        <v>3</v>
      </c>
      <c r="F73" s="5">
        <v>2</v>
      </c>
      <c r="G73" s="5">
        <v>7</v>
      </c>
    </row>
    <row r="74" spans="1:7" x14ac:dyDescent="0.3">
      <c r="C74" s="12"/>
      <c r="D74" t="s">
        <v>50</v>
      </c>
      <c r="E74" s="5">
        <v>500</v>
      </c>
      <c r="F74" s="5">
        <f>E74</f>
        <v>500</v>
      </c>
      <c r="G74" s="5">
        <f>E74</f>
        <v>500</v>
      </c>
    </row>
    <row r="75" spans="1:7" x14ac:dyDescent="0.3">
      <c r="C75" s="12"/>
      <c r="D75" t="s">
        <v>51</v>
      </c>
      <c r="E75" s="5">
        <f>E74</f>
        <v>500</v>
      </c>
      <c r="F75" s="5">
        <f t="shared" ref="F75:F77" si="1">E75</f>
        <v>500</v>
      </c>
      <c r="G75" s="5">
        <f t="shared" ref="G75:G77" si="2">E75</f>
        <v>500</v>
      </c>
    </row>
    <row r="76" spans="1:7" x14ac:dyDescent="0.3">
      <c r="C76" s="12"/>
      <c r="D76" t="s">
        <v>52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C77" s="12"/>
      <c r="D77" t="s">
        <v>53</v>
      </c>
      <c r="E77" s="5">
        <f>E76</f>
        <v>500</v>
      </c>
      <c r="F77" s="5">
        <f t="shared" si="1"/>
        <v>500</v>
      </c>
      <c r="G77" s="5">
        <f t="shared" si="2"/>
        <v>500</v>
      </c>
    </row>
    <row r="78" spans="1:7" x14ac:dyDescent="0.3">
      <c r="E78" s="7">
        <f>_xll.pyThreadTest(E72,E73,E74,E75,E76,E77)</f>
        <v>12108</v>
      </c>
      <c r="F78" s="7">
        <f>_xll.pyThreadTest(F72,F73,F74,F75,F76,F77)</f>
        <v>25048</v>
      </c>
      <c r="G78" s="7">
        <f>_xll.pyThreadTest(G72,G73,G74,G75,G76,G77)</f>
        <v>16140</v>
      </c>
    </row>
    <row r="80" spans="1:7" x14ac:dyDescent="0.3">
      <c r="A80" s="2" t="s">
        <v>56</v>
      </c>
      <c r="B80" t="b">
        <f>C80=D82</f>
        <v>1</v>
      </c>
      <c r="C80" t="s">
        <v>57</v>
      </c>
      <c r="D80" t="str">
        <f>pyWbPath()</f>
        <v>C:\Users\Steven\dev\xloil\tests\python</v>
      </c>
    </row>
    <row r="81" spans="1:8" x14ac:dyDescent="0.3">
      <c r="A81" t="s">
        <v>58</v>
      </c>
      <c r="D81" t="str">
        <f>_xll.xloPyLoad(D80&amp;"\TestModule.py")</f>
        <v>&lt;module 'TestModule' from 'C:\\Users\\Steven\\dev\\xloil\\tests\\python\\TestModule.py'&gt;</v>
      </c>
    </row>
    <row r="82" spans="1:8" x14ac:dyDescent="0.3">
      <c r="D82" s="7" t="str">
        <f>_xll.pyTestLoadMod()</f>
        <v>Great Success!</v>
      </c>
    </row>
    <row r="85" spans="1:8" x14ac:dyDescent="0.3">
      <c r="A85" s="2" t="s">
        <v>59</v>
      </c>
      <c r="B85" t="b">
        <f>AND(D85=F85+1, D86=G85+1, D87=H85+1,D88=F86+1,D89=G86+1)</f>
        <v>1</v>
      </c>
      <c r="D85" s="28">
        <f t="array" ref="D85:D89">pyTestDateConv(F85:H86)</f>
        <v>43001</v>
      </c>
      <c r="F85" s="31">
        <v>43000</v>
      </c>
      <c r="G85" s="31">
        <v>44000</v>
      </c>
      <c r="H85" s="31">
        <v>45000.66</v>
      </c>
    </row>
    <row r="86" spans="1:8" x14ac:dyDescent="0.3">
      <c r="D86" s="7">
        <v>44001</v>
      </c>
      <c r="F86" s="31">
        <f>G85</f>
        <v>44000</v>
      </c>
      <c r="G86" s="31">
        <v>37000</v>
      </c>
      <c r="H86" s="31">
        <f>H85</f>
        <v>45000.66</v>
      </c>
    </row>
    <row r="87" spans="1:8" x14ac:dyDescent="0.3">
      <c r="D87" s="7">
        <v>45001.66</v>
      </c>
    </row>
    <row r="88" spans="1:8" x14ac:dyDescent="0.3">
      <c r="D88" s="7">
        <v>44001</v>
      </c>
    </row>
    <row r="89" spans="1:8" x14ac:dyDescent="0.3">
      <c r="C89" s="29"/>
      <c r="D89" s="32">
        <v>37001</v>
      </c>
      <c r="E89" s="30"/>
    </row>
    <row r="90" spans="1:8" x14ac:dyDescent="0.3">
      <c r="C90" s="29"/>
      <c r="D90" s="29"/>
      <c r="E90" s="30"/>
    </row>
    <row r="91" spans="1:8" x14ac:dyDescent="0.3">
      <c r="A91" t="s">
        <v>61</v>
      </c>
      <c r="C91" s="29"/>
      <c r="D91" s="29"/>
      <c r="E91" s="30"/>
    </row>
    <row r="92" spans="1:8" x14ac:dyDescent="0.3">
      <c r="B92" t="b">
        <f>C92:C93=D92:D93</f>
        <v>1</v>
      </c>
      <c r="C92" s="29">
        <v>0</v>
      </c>
      <c r="D92" s="32">
        <f>pyTestDynamic0()</f>
        <v>0</v>
      </c>
      <c r="E92" s="30"/>
    </row>
    <row r="93" spans="1:8" x14ac:dyDescent="0.3">
      <c r="C93" s="29">
        <v>2</v>
      </c>
      <c r="D93" s="32">
        <f>pyTestDynamic2()</f>
        <v>2</v>
      </c>
      <c r="E93" s="30"/>
    </row>
    <row r="94" spans="1:8" x14ac:dyDescent="0.3">
      <c r="C94" s="29"/>
      <c r="D94" s="29"/>
      <c r="E94" s="30"/>
    </row>
    <row r="96" spans="1:8" x14ac:dyDescent="0.3">
      <c r="A96" t="s">
        <v>62</v>
      </c>
      <c r="B96" t="b">
        <f>C96=D96</f>
        <v>1</v>
      </c>
      <c r="C96" s="4" t="str">
        <f>"[PythonTest.xlsm]Test1!R"&amp;ROW(D96)&amp;"C"&amp;COLUMN(D96)</f>
        <v>[PythonTest.xlsm]Test1!R96C4</v>
      </c>
      <c r="D96" s="7" t="str">
        <f>pyTestCaller()</f>
        <v>[PythonTest.xlsm]Test1!R96C4</v>
      </c>
    </row>
    <row r="97" spans="1:4" x14ac:dyDescent="0.3">
      <c r="B97" t="b">
        <f>C97=D97</f>
        <v>1</v>
      </c>
      <c r="C97" s="4" t="str">
        <f>"[PythonTest.xlsm]Test1!R"&amp;ROW(D97)&amp;"C"&amp;COLUMN(D97)</f>
        <v>[PythonTest.xlsm]Test1!R97C4</v>
      </c>
      <c r="D97" s="7" t="str">
        <f>pyTestCaller()</f>
        <v>[PythonTest.xlsm]Test1!R97C4</v>
      </c>
    </row>
    <row r="100" spans="1:4" x14ac:dyDescent="0.3">
      <c r="A100" s="2" t="s">
        <v>63</v>
      </c>
      <c r="B100" t="b">
        <f>C100=D100</f>
        <v>1</v>
      </c>
      <c r="C100" t="str">
        <f>pyTestWorkbooks()</f>
        <v>PythonTest.xlsm</v>
      </c>
      <c r="D100" s="7" t="str">
        <f>pyTestWorkbooks()</f>
        <v>PythonTest.xlsm</v>
      </c>
    </row>
    <row r="102" spans="1:4" x14ac:dyDescent="0.3">
      <c r="A102" s="2" t="s">
        <v>66</v>
      </c>
      <c r="B102" t="b">
        <f>C102=D102</f>
        <v>1</v>
      </c>
      <c r="C102">
        <v>6</v>
      </c>
      <c r="D102" s="28">
        <f>pyTestExcelCallAsync(1,2,3)</f>
        <v>6</v>
      </c>
    </row>
    <row r="103" spans="1:4" x14ac:dyDescent="0.3">
      <c r="B103" t="b">
        <f>C103=D103</f>
        <v>1</v>
      </c>
      <c r="C103">
        <v>6</v>
      </c>
      <c r="D103" s="28">
        <f>pyTestExcelCall("sum",1,2,3)</f>
        <v>6</v>
      </c>
    </row>
    <row r="105" spans="1:4" x14ac:dyDescent="0.3">
      <c r="A105" s="2" t="s">
        <v>67</v>
      </c>
      <c r="B105" t="b">
        <f ca="1">C105=D105</f>
        <v>1</v>
      </c>
      <c r="C105" t="str">
        <f ca="1">"="&amp;SUBSTITUTE(CELL("address",C102)&amp;"="&amp;CELL("address",D102),"$","")</f>
        <v>=C102=D102</v>
      </c>
      <c r="D105" s="28" t="str">
        <f>pyTestExcelCall("getcell",6,B102)</f>
        <v>=C102=D102</v>
      </c>
    </row>
    <row r="106" spans="1:4" x14ac:dyDescent="0.3">
      <c r="B106" t="b">
        <f t="shared" ref="B106:B110" ca="1" si="3">C106=D106</f>
        <v>1</v>
      </c>
      <c r="C106" t="str">
        <f ca="1">C105</f>
        <v>=C102=D102</v>
      </c>
      <c r="D106" s="28" t="str">
        <f ca="1">_xll.pyTestRangeFormula2(B102)</f>
        <v>=C102=D102</v>
      </c>
    </row>
    <row r="107" spans="1:4" x14ac:dyDescent="0.3">
      <c r="B107" t="b">
        <f t="shared" ca="1" si="3"/>
        <v>1</v>
      </c>
      <c r="C107" t="str">
        <f ca="1">C106</f>
        <v>=C102=D102</v>
      </c>
      <c r="D107" s="28" t="str">
        <f>pyTestRangeFormula(B102)</f>
        <v>=C102=D102</v>
      </c>
    </row>
    <row r="109" spans="1:4" x14ac:dyDescent="0.3">
      <c r="A109" s="2" t="s">
        <v>68</v>
      </c>
      <c r="B109" t="b">
        <f t="shared" si="3"/>
        <v>1</v>
      </c>
      <c r="C109" t="str">
        <f>C100</f>
        <v>PythonTest.xlsm</v>
      </c>
      <c r="D109" s="28" t="str">
        <f>pyTestAppRun("pyTestWorkbooks")</f>
        <v>PythonTest.xlsm</v>
      </c>
    </row>
    <row r="110" spans="1:4" x14ac:dyDescent="0.3">
      <c r="B110" t="b">
        <f t="shared" si="3"/>
        <v>1</v>
      </c>
      <c r="C110">
        <v>6</v>
      </c>
      <c r="D110" s="28">
        <f>pyTestAppRun("pySum",1,2,3)</f>
        <v>6</v>
      </c>
    </row>
    <row r="111" spans="1:4" x14ac:dyDescent="0.3">
      <c r="B111" t="b">
        <f ca="1">C111=D111</f>
        <v>1</v>
      </c>
      <c r="C111" t="str">
        <f ca="1">MID(CELL("filename"),FIND("[",CELL("filename")),100)&amp;"!"&amp;ADDRESS(ROW(E110),COLUMN(E110),4)</f>
        <v>[PythonTest.xlsm]Test1!E110</v>
      </c>
      <c r="D111" s="28" t="str">
        <f>pyTestAppRun("pyTestRange", D109)</f>
        <v>[PythonTest.xlsm]Test1!E110</v>
      </c>
    </row>
  </sheetData>
  <conditionalFormatting sqref="B6:B53">
    <cfRule type="expression" dxfId="5" priority="9">
      <formula>IFERROR(NOT(OR(ISBLANK(B6),B6)),TRUE)</formula>
    </cfRule>
  </conditionalFormatting>
  <conditionalFormatting sqref="B3">
    <cfRule type="expression" dxfId="4" priority="5">
      <formula>IFERROR(NOT(OR(ISBLANK(B3),B3)),TRUE)</formula>
    </cfRule>
  </conditionalFormatting>
  <conditionalFormatting sqref="D3">
    <cfRule type="expression" dxfId="3" priority="4">
      <formula>IFERROR(NOT(OR(ISBLANK(D3),D3)),TRUE)</formula>
    </cfRule>
  </conditionalFormatting>
  <conditionalFormatting sqref="B54:B103">
    <cfRule type="expression" dxfId="2" priority="3">
      <formula>IFERROR(NOT(OR(ISBLANK(B54),B54)),TRUE)</formula>
    </cfRule>
  </conditionalFormatting>
  <conditionalFormatting sqref="B105:B107">
    <cfRule type="expression" dxfId="1" priority="2">
      <formula>IFERROR(NOT(OR(ISBLANK(B105),B105)),TRUE)</formula>
    </cfRule>
  </conditionalFormatting>
  <conditionalFormatting sqref="B109:B111">
    <cfRule type="expression" dxfId="0" priority="1">
      <formula>IFERROR(NOT(OR(ISBLANK(B109),B109)),TRUE)</formula>
    </cfRule>
  </conditionalFormatting>
  <hyperlinks>
    <hyperlink ref="D69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2022-01-25T16:37:52Z</dcterms:modified>
</cp:coreProperties>
</file>