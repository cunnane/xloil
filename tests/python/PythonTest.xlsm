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DB14A322-6F3F-4B1C-AEBB-EA72BE1F15D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7" i="1" l="1"/>
  <c r="C66" i="1"/>
  <c r="C97" i="1"/>
  <c r="D97" i="1"/>
  <c r="E94" i="1"/>
  <c r="D89" i="1"/>
  <c r="D90" i="1"/>
  <c r="D9" i="1"/>
  <c r="D30" i="1"/>
  <c r="D1" i="1"/>
  <c r="E93" i="1"/>
  <c r="B93" i="1" l="1"/>
  <c r="B89" i="1"/>
  <c r="C34" i="1"/>
  <c r="C40" i="1"/>
  <c r="D34" i="1"/>
  <c r="B34" i="1" l="1"/>
  <c r="H83" i="1"/>
  <c r="F83" i="1"/>
  <c r="D79" i="1"/>
  <c r="D82" i="1" a="1"/>
  <c r="D77" i="1"/>
  <c r="D84" i="1" l="1"/>
  <c r="D85" i="1"/>
  <c r="D86" i="1"/>
  <c r="D82" i="1"/>
  <c r="D83" i="1"/>
  <c r="B77" i="1"/>
  <c r="D25" i="1" a="1"/>
  <c r="D78" i="1"/>
  <c r="B82" i="1" l="1"/>
  <c r="D25" i="1"/>
  <c r="E26" i="1"/>
  <c r="B26" i="1" s="1"/>
  <c r="E25" i="1"/>
  <c r="B25" i="1" s="1"/>
  <c r="D26" i="1"/>
  <c r="E72" i="1"/>
  <c r="F72" i="1" s="1"/>
  <c r="G71" i="1"/>
  <c r="F71" i="1"/>
  <c r="E73" i="1" l="1"/>
  <c r="F73" i="1" s="1"/>
  <c r="G72" i="1"/>
  <c r="G73" i="1" l="1"/>
  <c r="E74" i="1"/>
  <c r="C65" i="1"/>
  <c r="D40" i="1"/>
  <c r="D29" i="1"/>
  <c r="C64" i="1"/>
  <c r="F74" i="1" l="1"/>
  <c r="G74" i="1"/>
  <c r="C60" i="1"/>
  <c r="F75" i="1"/>
  <c r="E75" i="1"/>
  <c r="G75" i="1"/>
  <c r="D8" i="1"/>
  <c r="D61" i="1"/>
  <c r="B69" i="1" l="1"/>
  <c r="B61" i="1"/>
  <c r="D4" i="1"/>
  <c r="D60" i="1"/>
  <c r="B60" i="1" l="1"/>
  <c r="C51" i="1"/>
  <c r="C50" i="1"/>
  <c r="C49" i="1"/>
  <c r="C46" i="1"/>
  <c r="C44" i="1"/>
  <c r="C29" i="1"/>
  <c r="C30" i="1" s="1"/>
  <c r="C21" i="1"/>
  <c r="C22" i="1" s="1"/>
  <c r="C17" i="1" a="1"/>
  <c r="C17" i="1" s="1"/>
  <c r="C14" i="1"/>
  <c r="C13" i="1"/>
  <c r="C15" i="1" s="1"/>
  <c r="D43" i="1"/>
  <c r="C8" i="1"/>
  <c r="D32" i="1"/>
  <c r="D10" i="1"/>
  <c r="D44" i="1"/>
  <c r="D36" i="1"/>
  <c r="D18" i="1"/>
  <c r="D21" i="1"/>
  <c r="D22" i="1"/>
  <c r="I49" i="1"/>
  <c r="C38" i="1"/>
  <c r="D17" i="1"/>
  <c r="D15" i="1"/>
  <c r="I46" i="1"/>
  <c r="D11" i="1"/>
  <c r="D14" i="1"/>
  <c r="D5" i="1"/>
  <c r="D13" i="1"/>
  <c r="D7" i="1"/>
  <c r="B8" i="1" l="1"/>
  <c r="B36" i="1"/>
  <c r="B21" i="1"/>
  <c r="B7" i="1"/>
  <c r="B13" i="1"/>
  <c r="B29" i="1"/>
  <c r="B43" i="1"/>
  <c r="B30" i="1"/>
  <c r="B9" i="1"/>
  <c r="B10" i="1"/>
  <c r="B4" i="1"/>
  <c r="B14" i="1"/>
  <c r="B5" i="1"/>
  <c r="B11" i="1"/>
  <c r="B18" i="1"/>
  <c r="B44" i="1"/>
  <c r="B17" i="1"/>
  <c r="B15" i="1"/>
  <c r="B22" i="1"/>
  <c r="B40" i="1"/>
  <c r="D49" i="1"/>
  <c r="D46" i="1"/>
  <c r="D57" i="1" a="1"/>
  <c r="D53" i="1" a="1"/>
  <c r="D33" i="1"/>
  <c r="D50" i="1" a="1"/>
  <c r="F57" i="1" l="1"/>
  <c r="B57" i="1" s="1" a="1"/>
  <c r="E58" i="1"/>
  <c r="F58" i="1"/>
  <c r="E57" i="1"/>
  <c r="D58" i="1"/>
  <c r="D57" i="1"/>
  <c r="F54" i="1"/>
  <c r="D55" i="1"/>
  <c r="D54" i="1"/>
  <c r="D53" i="1"/>
  <c r="F53" i="1"/>
  <c r="E54" i="1"/>
  <c r="F55" i="1"/>
  <c r="E53" i="1"/>
  <c r="E55" i="1"/>
  <c r="B46" i="1"/>
  <c r="D50" i="1"/>
  <c r="B50" i="1" s="1"/>
  <c r="D51" i="1"/>
  <c r="B51" i="1" s="1"/>
  <c r="B49" i="1"/>
  <c r="B33" i="1"/>
  <c r="B57" i="1" l="1"/>
  <c r="B53" i="1" a="1"/>
  <c r="B53" i="1" s="1"/>
</calcChain>
</file>

<file path=xl/sharedStrings.xml><?xml version="1.0" encoding="utf-8"?>
<sst xmlns="http://schemas.openxmlformats.org/spreadsheetml/2006/main" count="75" uniqueCount="70">
  <si>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</si>
  <si>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</si>
  <si>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</si>
  <si>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</si>
  <si>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</si>
  <si>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</si>
  <si>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</si>
  <si>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</si>
  <si>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</si>
  <si>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</si>
  <si>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</si>
  <si>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</si>
  <si>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</si>
  <si>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</si>
  <si>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</si>
  <si>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</si>
  <si>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</si>
  <si>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</si>
  <si>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</si>
  <si>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</si>
  <si>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</si>
  <si>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</si>
  <si>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</si>
  <si>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</si>
  <si>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</si>
  <si>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</si>
  <si>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</si>
  <si>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</si>
  <si>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</si>
  <si>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</si>
  <si>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</si>
  <si>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</si>
  <si>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</si>
  <si>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</si>
  <si>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</si>
  <si>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</si>
  <si>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</si>
  <si>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</si>
  <si>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</si>
  <si>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</si>
  <si>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</si>
  <si>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</si>
  <si>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</si>
  <si>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</si>
  <si>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</si>
  <si>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</si>
  <si>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</si>
  <si>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</si>
  <si>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</si>
  <si>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</si>
  <si>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</si>
  <si>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</si>
  <si>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</si>
  <si>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</si>
  <si>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</si>
  <si>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</si>
  <si>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</si>
  <si>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</si>
  <si>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</si>
  <si>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</si>
  <si>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</si>
  <si>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</si>
  <si>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</si>
  <si>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 xml:space="preserve">   </t>
  </si>
  <si>
    <t>[PythonTest.xlsm]Test1!R93C5</t>
  </si>
  <si>
    <t>[PythonTest.xlsm]Test1!R94C5</t>
  </si>
  <si>
    <t>pyTestCall</t>
  </si>
  <si>
    <t>=pyTestCall(1,2,3)</t>
  </si>
  <si>
    <t>pyTestWorkbooks</t>
  </si>
  <si>
    <t>Calc on Test1 finished at: 2021-11-14 11:24:34.816604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</si>
</sst>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</cellXfs>
  <cellStyles count="2">
    <cellStyle name="Hyperlink" xfId="1" builtinId="8"/>
    <cellStyle name="Normal" xfId="0" builtinId="0"/>
  </cellStyles>
  <dxfs count="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0d5381b6.8732.413a.af66.aeac92dde918">
      <tp>
        <v>0</v>
        <stp/>
        <stp>{5041D9C9-5AA8-40A5-BDBE-1DDB0810497B}</stp>
        <tr r="D1" s="1"/>
      </tp>
      <tp>
        <v>0</v>
        <stp/>
        <stp>{1B9C3B98-B20E-4910-896D-F2FFCB594499}</stp>
        <tr r="E9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99"/>
  <sheetViews>
    <sheetView showGridLines="0" tabSelected="1" workbookViewId="0">
      <selection activeCell="H6" sqref="H6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69</v>
      </c>
      <c r="B1" s="6"/>
      <c r="C1" s="6"/>
      <c r="D1" s="26">
        <f>pyTestAsyncGen(2)</f>
        <v>44514.475376235649</v>
      </c>
      <c r="H1" s="25"/>
    </row>
    <row r="2" spans="1:8" x14ac:dyDescent="0.3">
      <c r="A2" s="17"/>
      <c r="B2" s="12"/>
      <c r="C2" s="12"/>
    </row>
    <row r="3" spans="1:8" x14ac:dyDescent="0.3">
      <c r="A3" s="1" t="s">
        <v>38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  <c r="F6" s="33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8" spans="1:9" x14ac:dyDescent="0.3">
      <c r="A28" s="2" t="s">
        <v>66</v>
      </c>
      <c r="D28" s="9" t="s">
        <v>67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41</v>
      </c>
      <c r="B30" t="b">
        <f>C30=D30</f>
        <v>1</v>
      </c>
      <c r="C30" t="str">
        <f>C29</f>
        <v>foo</v>
      </c>
      <c r="D30" s="9" t="str">
        <f>pyTestAsyncRtd(F29,1)</f>
        <v>foo</v>
      </c>
    </row>
    <row r="32" spans="1:9" x14ac:dyDescent="0.3">
      <c r="A32" s="2" t="s">
        <v>25</v>
      </c>
      <c r="D32" s="5" t="str">
        <f>pyTestCache()</f>
        <v>欣[000002547B4B1AC0]7c003:7c003CustomObj,A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A34" s="2" t="s">
        <v>60</v>
      </c>
      <c r="B34" t="e">
        <f ca="1">INDEX(_xll.xloVal(D34),1,1)=C34</f>
        <v>#VALUE!</v>
      </c>
      <c r="C34" t="str">
        <f>G25</f>
        <v>Foo</v>
      </c>
      <c r="D34" s="7" t="str">
        <f>pyTestToCache(G25:H26)</f>
        <v>永[000002547B4B1AC0]84003:84003,A</v>
      </c>
      <c r="M34" s="5"/>
    </row>
    <row r="35" spans="1:13" x14ac:dyDescent="0.3">
      <c r="M35" s="5"/>
    </row>
    <row r="36" spans="1:13" x14ac:dyDescent="0.3">
      <c r="A36" s="2" t="s">
        <v>28</v>
      </c>
      <c r="B36" t="b">
        <f>C36=D36</f>
        <v>1</v>
      </c>
      <c r="C36">
        <v>4</v>
      </c>
      <c r="D36" s="7">
        <f>SUM(pyTestIter(4,1))</f>
        <v>4</v>
      </c>
      <c r="M36" s="5"/>
    </row>
    <row r="37" spans="1:13" x14ac:dyDescent="0.3">
      <c r="M37" s="5"/>
    </row>
    <row r="38" spans="1:13" x14ac:dyDescent="0.3">
      <c r="A38" s="2" t="s">
        <v>39</v>
      </c>
      <c r="C38" t="str">
        <f>pyTestCom()</f>
        <v>{90160000-000F-0000-1000-0000000FF1CE}</v>
      </c>
      <c r="M38" s="5"/>
    </row>
    <row r="39" spans="1:13" x14ac:dyDescent="0.3">
      <c r="A39" s="2"/>
      <c r="M39" s="5"/>
    </row>
    <row r="40" spans="1:13" x14ac:dyDescent="0.3">
      <c r="A40" s="2" t="s">
        <v>40</v>
      </c>
      <c r="B40" t="b">
        <f ca="1">C40=D40</f>
        <v>1</v>
      </c>
      <c r="C40" s="4" t="str">
        <f ca="1">MID(CELL("filename"),FIND("[",CELL("filename")),100)&amp;"!"&amp;ADDRESS(ROW(G41),COLUMN(G41),4)</f>
        <v>[PythonTest.xlsm]Test1!G41</v>
      </c>
      <c r="D40" s="10" t="str">
        <f>pyTestRange(F40:G41)</f>
        <v>[PythonTest.xlsm]Test1!G41</v>
      </c>
      <c r="E40" s="16"/>
      <c r="F40" s="19">
        <v>1</v>
      </c>
      <c r="G40" s="19">
        <v>2</v>
      </c>
      <c r="M40" s="5"/>
    </row>
    <row r="41" spans="1:13" x14ac:dyDescent="0.3">
      <c r="A41" s="2"/>
      <c r="F41" s="19">
        <v>3</v>
      </c>
      <c r="G41" s="19">
        <v>4</v>
      </c>
      <c r="M41" s="5"/>
    </row>
    <row r="42" spans="1:13" x14ac:dyDescent="0.3">
      <c r="A42" s="2"/>
      <c r="M42" s="5"/>
    </row>
    <row r="43" spans="1:13" x14ac:dyDescent="0.3">
      <c r="A43" s="2" t="s">
        <v>31</v>
      </c>
      <c r="B43" t="b">
        <f>C43=D43</f>
        <v>1</v>
      </c>
      <c r="C43">
        <v>2</v>
      </c>
      <c r="D43" s="7">
        <f>pyTestCustomConv(1)</f>
        <v>2</v>
      </c>
    </row>
    <row r="44" spans="1:13" x14ac:dyDescent="0.3">
      <c r="A44" s="2"/>
      <c r="B44" t="b">
        <f>C44=D44</f>
        <v>1</v>
      </c>
      <c r="C44">
        <f>2*SUM(F44:G44)</f>
        <v>14</v>
      </c>
      <c r="D44" s="7">
        <f>SUM(pyTestCustomConv(F44:G44))</f>
        <v>14</v>
      </c>
      <c r="F44" s="19">
        <v>3</v>
      </c>
      <c r="G44" s="19">
        <v>4</v>
      </c>
    </row>
    <row r="45" spans="1:13" x14ac:dyDescent="0.3">
      <c r="A45" s="2"/>
    </row>
    <row r="46" spans="1:13" x14ac:dyDescent="0.3">
      <c r="A46" s="2" t="s">
        <v>33</v>
      </c>
      <c r="B46" t="b">
        <f>C46=D46</f>
        <v>1</v>
      </c>
      <c r="C46">
        <f>G47</f>
        <v>2</v>
      </c>
      <c r="D46" s="7">
        <f>pyTestFrameFetch(I46,,"B")</f>
        <v>2</v>
      </c>
      <c r="F46" s="20" t="s">
        <v>32</v>
      </c>
      <c r="G46" s="20" t="s">
        <v>29</v>
      </c>
      <c r="H46" s="20" t="s">
        <v>30</v>
      </c>
      <c r="I46" s="21" t="str">
        <f>pyTestDFrame(F46:H47)</f>
        <v>欣[000002547B4B1AC0]b4008:b4008DataFrame,A</v>
      </c>
    </row>
    <row r="47" spans="1:13" x14ac:dyDescent="0.3">
      <c r="A47" s="2"/>
      <c r="F47" s="20">
        <v>1</v>
      </c>
      <c r="G47" s="20">
        <v>2</v>
      </c>
      <c r="H47" s="20">
        <v>3</v>
      </c>
    </row>
    <row r="48" spans="1:13" x14ac:dyDescent="0.3">
      <c r="A48" s="2"/>
    </row>
    <row r="49" spans="1:9" x14ac:dyDescent="0.3">
      <c r="A49" s="2" t="s">
        <v>34</v>
      </c>
      <c r="B49" t="b">
        <f>C49=D49</f>
        <v>1</v>
      </c>
      <c r="C49" t="str">
        <f>H50</f>
        <v>Foo</v>
      </c>
      <c r="D49" s="7" t="str">
        <f>pyTestFrameFetch(I49,0,"B")</f>
        <v>Foo</v>
      </c>
      <c r="F49" s="19" t="s">
        <v>35</v>
      </c>
      <c r="G49" s="19" t="s">
        <v>32</v>
      </c>
      <c r="H49" s="19" t="s">
        <v>29</v>
      </c>
      <c r="I49" s="21" t="str">
        <f>pyTestDFrameIndex(F49:H51)</f>
        <v>欣[000002547B4B1AC0]c0008:c0008,A</v>
      </c>
    </row>
    <row r="50" spans="1:9" x14ac:dyDescent="0.3">
      <c r="A50" s="2"/>
      <c r="B50" t="b">
        <f t="shared" ref="B50:B51" si="0">C50=D50</f>
        <v>1</v>
      </c>
      <c r="C50">
        <f>G51</f>
        <v>2.1</v>
      </c>
      <c r="D50" s="7">
        <f t="array" ref="D50:D51">pyTestFrameFetch(I49,1)</f>
        <v>2.1</v>
      </c>
      <c r="F50" s="19">
        <v>0</v>
      </c>
      <c r="G50" s="19">
        <v>5.3</v>
      </c>
      <c r="H50" s="19" t="s">
        <v>17</v>
      </c>
    </row>
    <row r="51" spans="1:9" x14ac:dyDescent="0.3">
      <c r="A51" s="2"/>
      <c r="B51" t="b">
        <f t="shared" si="0"/>
        <v>1</v>
      </c>
      <c r="C51" t="str">
        <f>H51</f>
        <v>Bar</v>
      </c>
      <c r="D51" s="7" t="str">
        <v>Bar</v>
      </c>
      <c r="F51" s="19">
        <v>1</v>
      </c>
      <c r="G51" s="19">
        <v>2.1</v>
      </c>
      <c r="H51" s="19" t="s">
        <v>18</v>
      </c>
    </row>
    <row r="52" spans="1:9" x14ac:dyDescent="0.3">
      <c r="A52" s="2"/>
    </row>
    <row r="53" spans="1:9" x14ac:dyDescent="0.3">
      <c r="A53" s="2" t="s">
        <v>55</v>
      </c>
      <c r="B53" t="b">
        <f t="array" ref="B53">SUM((D53:F55=F49:H51)+0)=9</f>
        <v>1</v>
      </c>
      <c r="D53" s="7" t="str">
        <f t="array" ref="D53:F55">pyTestFrameFetch(I49)</f>
        <v>Time</v>
      </c>
      <c r="E53" s="7" t="str">
        <v>A</v>
      </c>
      <c r="F53" s="28" t="str">
        <v>B</v>
      </c>
    </row>
    <row r="54" spans="1:9" x14ac:dyDescent="0.3">
      <c r="D54" s="7">
        <v>0</v>
      </c>
      <c r="E54" s="7">
        <v>5.3</v>
      </c>
      <c r="F54" s="28" t="str">
        <v>Foo</v>
      </c>
    </row>
    <row r="55" spans="1:9" x14ac:dyDescent="0.3">
      <c r="D55" s="7">
        <v>1</v>
      </c>
      <c r="E55" s="7">
        <v>2.1</v>
      </c>
      <c r="F55" s="28" t="str">
        <v>Bar</v>
      </c>
    </row>
    <row r="56" spans="1:9" x14ac:dyDescent="0.3">
      <c r="E56"/>
      <c r="F56"/>
    </row>
    <row r="57" spans="1:9" x14ac:dyDescent="0.3">
      <c r="B57" t="b">
        <f t="array" ref="B57">SUM((D57:F58=F49:H50)+0)=6</f>
        <v>1</v>
      </c>
      <c r="D57" s="7" t="str">
        <f t="array" ref="D57:F58">pyTestFrameWrite(I49)</f>
        <v>Time</v>
      </c>
      <c r="E57" s="7" t="str">
        <v>A</v>
      </c>
      <c r="F57" s="28" t="str">
        <v>B</v>
      </c>
    </row>
    <row r="58" spans="1:9" x14ac:dyDescent="0.3">
      <c r="D58" s="7">
        <v>0</v>
      </c>
      <c r="E58" s="7">
        <v>5.3</v>
      </c>
      <c r="F58" s="7" t="str">
        <v>Foo</v>
      </c>
    </row>
    <row r="60" spans="1:9" x14ac:dyDescent="0.3">
      <c r="A60" s="2" t="s">
        <v>36</v>
      </c>
      <c r="B60" t="b">
        <f>C60=D60</f>
        <v>1</v>
      </c>
      <c r="C60" s="3">
        <f>F60+1</f>
        <v>42737</v>
      </c>
      <c r="D60" s="8">
        <f>pyTestDate(F60)</f>
        <v>42737</v>
      </c>
      <c r="E60" s="14"/>
      <c r="F60" s="22">
        <v>42736</v>
      </c>
    </row>
    <row r="61" spans="1:9" x14ac:dyDescent="0.3">
      <c r="B61" t="b">
        <f>D61=C61</f>
        <v>1</v>
      </c>
      <c r="C61" s="3">
        <v>42768</v>
      </c>
      <c r="D61" s="8">
        <f>pyTestDate(F61)</f>
        <v>42768</v>
      </c>
      <c r="E61" s="14"/>
      <c r="F61" s="23" t="s">
        <v>37</v>
      </c>
    </row>
    <row r="64" spans="1:9" x14ac:dyDescent="0.3">
      <c r="A64" s="2" t="s">
        <v>44</v>
      </c>
      <c r="C64" s="24" t="e">
        <f ca="1">_xll.pyGetUrl(D64)</f>
        <v>#VALUE!</v>
      </c>
      <c r="D64" t="s">
        <v>42</v>
      </c>
    </row>
    <row r="65" spans="1:7" x14ac:dyDescent="0.3">
      <c r="A65" s="5"/>
      <c r="C65" s="24" t="e">
        <f ca="1">_xll.pyGetUrl(D65)</f>
        <v>#VALUE!</v>
      </c>
      <c r="D65" t="s">
        <v>43</v>
      </c>
    </row>
    <row r="66" spans="1:7" x14ac:dyDescent="0.3">
      <c r="A66" s="2" t="s">
        <v>46</v>
      </c>
      <c r="C66" s="24" t="e">
        <f ca="1">_xll.pyGetUrlLive(D66)</f>
        <v>#NAME?</v>
      </c>
      <c r="D66" s="27" t="s">
        <v>45</v>
      </c>
    </row>
    <row r="69" spans="1:7" x14ac:dyDescent="0.3">
      <c r="A69" s="2" t="s">
        <v>47</v>
      </c>
      <c r="B69" t="e">
        <f ca="1">E75&lt;&gt;F75</f>
        <v>#VALUE!</v>
      </c>
      <c r="C69" s="12"/>
      <c r="D69" t="s">
        <v>48</v>
      </c>
      <c r="E69" s="5">
        <v>3</v>
      </c>
      <c r="F69" s="5">
        <v>1</v>
      </c>
      <c r="G69" s="5">
        <v>4</v>
      </c>
    </row>
    <row r="70" spans="1:7" x14ac:dyDescent="0.3">
      <c r="A70" t="s">
        <v>54</v>
      </c>
      <c r="C70" s="12"/>
      <c r="D70" t="s">
        <v>49</v>
      </c>
      <c r="E70" s="5">
        <v>3</v>
      </c>
      <c r="F70" s="5">
        <v>2</v>
      </c>
      <c r="G70" s="5">
        <v>7</v>
      </c>
    </row>
    <row r="71" spans="1:7" x14ac:dyDescent="0.3">
      <c r="C71" s="12"/>
      <c r="D71" t="s">
        <v>50</v>
      </c>
      <c r="E71" s="5">
        <v>500</v>
      </c>
      <c r="F71" s="5">
        <f>E71</f>
        <v>500</v>
      </c>
      <c r="G71" s="5">
        <f>E71</f>
        <v>500</v>
      </c>
    </row>
    <row r="72" spans="1:7" x14ac:dyDescent="0.3">
      <c r="C72" s="12"/>
      <c r="D72" t="s">
        <v>51</v>
      </c>
      <c r="E72" s="5">
        <f>E71</f>
        <v>500</v>
      </c>
      <c r="F72" s="5">
        <f t="shared" ref="F72:F74" si="1">E72</f>
        <v>500</v>
      </c>
      <c r="G72" s="5">
        <f t="shared" ref="G72:G74" si="2">E72</f>
        <v>500</v>
      </c>
    </row>
    <row r="73" spans="1:7" x14ac:dyDescent="0.3">
      <c r="C73" s="12"/>
      <c r="D73" t="s">
        <v>52</v>
      </c>
      <c r="E73" s="5">
        <f>E72</f>
        <v>500</v>
      </c>
      <c r="F73" s="5">
        <f t="shared" si="1"/>
        <v>500</v>
      </c>
      <c r="G73" s="5">
        <f t="shared" si="2"/>
        <v>500</v>
      </c>
    </row>
    <row r="74" spans="1:7" x14ac:dyDescent="0.3">
      <c r="C74" s="12"/>
      <c r="D74" t="s">
        <v>53</v>
      </c>
      <c r="E74" s="5">
        <f>E73</f>
        <v>500</v>
      </c>
      <c r="F74" s="5">
        <f t="shared" si="1"/>
        <v>500</v>
      </c>
      <c r="G74" s="5">
        <f t="shared" si="2"/>
        <v>500</v>
      </c>
    </row>
    <row r="75" spans="1:7" x14ac:dyDescent="0.3">
      <c r="E75" s="7" t="e">
        <f ca="1">_xll.pyThreadTest(E69,E70,E71,E72,E73,E74)</f>
        <v>#VALUE!</v>
      </c>
      <c r="F75" s="7" t="e">
        <f ca="1">_xll.pyThreadTest(F69,F70,F71,F72,F73,F74)</f>
        <v>#VALUE!</v>
      </c>
      <c r="G75" s="7" t="e">
        <f ca="1">_xll.pyThreadTest(G69,G70,G71,G72,G73,G74)</f>
        <v>#VALUE!</v>
      </c>
    </row>
    <row r="77" spans="1:7" x14ac:dyDescent="0.3">
      <c r="A77" s="2" t="s">
        <v>56</v>
      </c>
      <c r="B77" t="e">
        <f ca="1">C77=D79</f>
        <v>#VALUE!</v>
      </c>
      <c r="C77" t="s">
        <v>57</v>
      </c>
      <c r="D77" t="str">
        <f>pyWbPath()</f>
        <v>C:\Users\Steven\dev\xloil\tests\python\</v>
      </c>
    </row>
    <row r="78" spans="1:7" x14ac:dyDescent="0.3">
      <c r="A78" t="s">
        <v>58</v>
      </c>
      <c r="D78" t="e">
        <f ca="1">_xll.xloPyLoad(D77&amp;"TestModule.py")</f>
        <v>#VALUE!</v>
      </c>
    </row>
    <row r="79" spans="1:7" x14ac:dyDescent="0.3">
      <c r="D79" s="7" t="e">
        <f ca="1">_xll.pyTestLoadMod()</f>
        <v>#VALUE!</v>
      </c>
    </row>
    <row r="82" spans="1:8" x14ac:dyDescent="0.3">
      <c r="A82" s="2" t="s">
        <v>59</v>
      </c>
      <c r="B82" t="b">
        <f>AND(D82=F82+1, D83=G82+1, D84=H82+1,D85=F83+1,D86=G83+1)</f>
        <v>1</v>
      </c>
      <c r="D82" s="28">
        <f t="array" ref="D82:D86">pyTestDateConv(F82:H83)</f>
        <v>43001</v>
      </c>
      <c r="F82" s="31">
        <v>43000</v>
      </c>
      <c r="G82" s="31">
        <v>44000</v>
      </c>
      <c r="H82" s="31">
        <v>45000.66</v>
      </c>
    </row>
    <row r="83" spans="1:8" x14ac:dyDescent="0.3">
      <c r="D83" s="7">
        <v>44001</v>
      </c>
      <c r="F83" s="31">
        <f>G82</f>
        <v>44000</v>
      </c>
      <c r="G83" s="31">
        <v>37000</v>
      </c>
      <c r="H83" s="31">
        <f>H82</f>
        <v>45000.66</v>
      </c>
    </row>
    <row r="84" spans="1:8" x14ac:dyDescent="0.3">
      <c r="D84" s="7">
        <v>45001.66</v>
      </c>
    </row>
    <row r="85" spans="1:8" x14ac:dyDescent="0.3">
      <c r="D85" s="7">
        <v>44001</v>
      </c>
    </row>
    <row r="86" spans="1:8" x14ac:dyDescent="0.3">
      <c r="B86" s="29"/>
      <c r="C86" s="29"/>
      <c r="D86" s="32">
        <v>37001</v>
      </c>
      <c r="E86" s="30"/>
    </row>
    <row r="87" spans="1:8" x14ac:dyDescent="0.3">
      <c r="B87" s="29"/>
      <c r="C87" s="29"/>
      <c r="D87" s="29"/>
      <c r="E87" s="30"/>
    </row>
    <row r="88" spans="1:8" x14ac:dyDescent="0.3">
      <c r="A88" t="s">
        <v>61</v>
      </c>
      <c r="B88" s="29"/>
      <c r="C88" s="29"/>
      <c r="D88" s="29"/>
      <c r="E88" s="30"/>
    </row>
    <row r="89" spans="1:8" x14ac:dyDescent="0.3">
      <c r="B89" s="29" t="b">
        <f>C89:C90=D89:D90</f>
        <v>1</v>
      </c>
      <c r="C89" s="29">
        <v>0</v>
      </c>
      <c r="D89" s="29">
        <f>pyTestDynamic0()</f>
        <v>0</v>
      </c>
      <c r="E89" s="30"/>
    </row>
    <row r="90" spans="1:8" x14ac:dyDescent="0.3">
      <c r="B90" s="29"/>
      <c r="C90" s="29">
        <v>2</v>
      </c>
      <c r="D90" s="29">
        <f>pyTestDynamic2()</f>
        <v>2</v>
      </c>
      <c r="E90" s="30"/>
    </row>
    <row r="91" spans="1:8" x14ac:dyDescent="0.3">
      <c r="B91" s="29"/>
      <c r="C91" s="29"/>
      <c r="D91" s="29"/>
      <c r="E91" s="30"/>
    </row>
    <row r="93" spans="1:8" x14ac:dyDescent="0.3">
      <c r="A93" t="s">
        <v>62</v>
      </c>
      <c r="B93" t="b">
        <f>AND(C93=E93,C94=E94)</f>
        <v>1</v>
      </c>
      <c r="C93" t="s">
        <v>64</v>
      </c>
      <c r="E93" t="str">
        <f>pyTestCaller()</f>
        <v>[PythonTest.xlsm]Test1!R93C5</v>
      </c>
    </row>
    <row r="94" spans="1:8" x14ac:dyDescent="0.3">
      <c r="C94" t="s">
        <v>65</v>
      </c>
      <c r="E94" t="str">
        <f>pyTestCaller()</f>
        <v>[PythonTest.xlsm]Test1!R94C5</v>
      </c>
    </row>
    <row r="97" spans="1:4" x14ac:dyDescent="0.3">
      <c r="A97" s="2" t="s">
        <v>68</v>
      </c>
      <c r="B97" t="b">
        <f>C97=D97</f>
        <v>1</v>
      </c>
      <c r="C97" t="str">
        <f>pyTestWorkbooks()</f>
        <v>PythonTest.xlsm</v>
      </c>
      <c r="D97" s="7" t="str">
        <f>pyTestWorkbooks()</f>
        <v>PythonTest.xlsm</v>
      </c>
    </row>
    <row r="99" spans="1:4" x14ac:dyDescent="0.3">
      <c r="C99" t="s">
        <v>63</v>
      </c>
    </row>
  </sheetData>
  <conditionalFormatting sqref="B4:B52 B60:B61">
    <cfRule type="expression" dxfId="3" priority="4">
      <formula>IFERROR(NOT(OR(ISBLANK(B4),B4)),TRUE)</formula>
    </cfRule>
  </conditionalFormatting>
  <conditionalFormatting sqref="B53">
    <cfRule type="expression" dxfId="2" priority="3">
      <formula>IFERROR(NOT(OR(ISBLANK(B53),B53)),TRUE)</formula>
    </cfRule>
  </conditionalFormatting>
  <conditionalFormatting sqref="B57">
    <cfRule type="expression" dxfId="1" priority="2">
      <formula>IFERROR(NOT(OR(ISBLANK(B57),B57)),TRUE)</formula>
    </cfRule>
  </conditionalFormatting>
  <conditionalFormatting sqref="B69">
    <cfRule type="expression" dxfId="0" priority="1">
      <formula>IFERROR(NOT(OR(ISBLANK(B69),B69)),TRUE)</formula>
    </cfRule>
  </conditionalFormatting>
  <hyperlinks>
    <hyperlink ref="D66" r:id="rId1" xr:uid="{A15C8238-108A-441A-953F-6F26ED6EC33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2021-11-14T11:24:37Z</dcterms:modified>
</cp:coreProperties>
</file>