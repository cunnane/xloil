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621FE138-7E1D-48A2-AFD3-D94861E94104}" xr6:coauthVersionLast="45" xr6:coauthVersionMax="45" xr10:uidLastSave="{00000000-0000-0000-0000-000000000000}"/>
  <bookViews>
    <workbookView xWindow="840" yWindow="-108" windowWidth="22308" windowHeight="13176" xr2:uid="{00000000-000D-0000-FFFF-FFFF00000000}"/>
  </bookViews>
  <sheets>
    <sheet name="Sheet1" sheetId="1" r:id="rId1"/>
    <sheet name="Sheet2" sheetId="2" r:id="rId2"/>
  </sheets>
  <functionGroups builtInGroupCount="19"/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8" i="1" l="1"/>
  <c r="B2" i="2" l="1"/>
  <c r="D11" i="2" s="1" a="1"/>
  <c r="C47" i="1"/>
  <c r="C46" i="1"/>
  <c r="C45" i="1"/>
  <c r="C42" i="1"/>
  <c r="C40" i="1"/>
  <c r="C36" i="1"/>
  <c r="C27" i="1"/>
  <c r="C28" i="1" s="1"/>
  <c r="C23" i="1"/>
  <c r="C24" i="1" s="1"/>
  <c r="C19" i="1"/>
  <c r="C20" i="1" s="1"/>
  <c r="C15" i="1" a="1"/>
  <c r="C15" i="1" s="1"/>
  <c r="C12" i="1"/>
  <c r="C11" i="1"/>
  <c r="C13" i="1" s="1"/>
  <c r="B34" i="1"/>
  <c r="C6" i="1"/>
  <c r="E30" i="1"/>
  <c r="D2" i="1"/>
  <c r="D32" i="1"/>
  <c r="D24" i="1"/>
  <c r="D23" i="1"/>
  <c r="D12" i="1"/>
  <c r="H45" i="1"/>
  <c r="D15" i="1"/>
  <c r="D5" i="1"/>
  <c r="D10" i="1"/>
  <c r="D45" i="1"/>
  <c r="D36" i="1"/>
  <c r="D11" i="1"/>
  <c r="D39" i="1"/>
  <c r="D9" i="1"/>
  <c r="D20" i="1"/>
  <c r="D27" i="1"/>
  <c r="D19" i="1"/>
  <c r="D16" i="1"/>
  <c r="D8" i="1"/>
  <c r="D3" i="1"/>
  <c r="H42" i="1"/>
  <c r="D42" i="1" s="1"/>
  <c r="D40" i="1"/>
  <c r="D13" i="1"/>
  <c r="B6" i="1" l="1"/>
  <c r="B32" i="1"/>
  <c r="B19" i="1"/>
  <c r="B5" i="1"/>
  <c r="B11" i="1"/>
  <c r="B27" i="1"/>
  <c r="B39" i="1"/>
  <c r="B28" i="1"/>
  <c r="B8" i="1"/>
  <c r="B9" i="1"/>
  <c r="B2" i="1"/>
  <c r="B23" i="1"/>
  <c r="B12" i="1"/>
  <c r="B3" i="1"/>
  <c r="B10" i="1"/>
  <c r="B16" i="1"/>
  <c r="B40" i="1"/>
  <c r="B15" i="1"/>
  <c r="B24" i="1"/>
  <c r="B13" i="1"/>
  <c r="B20" i="1"/>
  <c r="B36" i="1"/>
  <c r="B45" i="1"/>
  <c r="D11" i="2"/>
  <c r="E11" i="2"/>
  <c r="E12" i="2"/>
  <c r="D12" i="2"/>
  <c r="D8" i="2" a="1"/>
  <c r="D5" i="2" a="1"/>
  <c r="D46" i="1" a="1"/>
  <c r="D30" i="1"/>
  <c r="D46" i="1" l="1"/>
  <c r="B46" i="1" s="1"/>
  <c r="D47" i="1"/>
  <c r="B47" i="1" s="1"/>
  <c r="B30" i="1"/>
  <c r="D6" i="2"/>
  <c r="E5" i="2"/>
  <c r="D5" i="2"/>
  <c r="B5" i="2" s="1"/>
  <c r="D14" i="2" s="1" a="1"/>
  <c r="E6" i="2"/>
  <c r="E9" i="2"/>
  <c r="D9" i="2"/>
  <c r="E8" i="2"/>
  <c r="D8" i="2"/>
  <c r="E15" i="2" l="1"/>
  <c r="D15" i="2"/>
  <c r="E14" i="2"/>
  <c r="D14" i="2"/>
</calcChain>
</file>

<file path=xl/sharedStrings.xml><?xml version="1.0" encoding="utf-8"?>
<sst xmlns="http://schemas.openxmlformats.org/spreadsheetml/2006/main" count="49" uniqueCount="42">
  <si>
    <t>pySum</t>
  </si>
  <si>
    <t>pySumNums</t>
  </si>
  <si>
    <t>Test Case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</si>
  <si>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</si>
  <si>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</si>
  <si>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</si>
  <si>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</si>
  <si>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</si>
  <si>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</si>
  <si>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</si>
  <si>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</si>
  <si>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</si>
  <si>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</si>
  <si>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</si>
  <si>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</si>
  <si>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</si>
  <si>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</si>
  <si>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</si>
  <si>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</si>
  <si>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</si>
  <si>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</si>
  <si>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</si>
  <si>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</si>
  <si>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</si>
  <si>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</si>
  <si>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</si>
  <si>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</si>
  <si>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</si>
  <si>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</si>
  <si>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</si>
  <si>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</si>
  <si>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pyTestCom()</t>
  </si>
  <si>
    <t>pyTestRange()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</si>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</sst>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quotePrefix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1" xfId="0" applyBorder="1"/>
    <xf numFmtId="0" fontId="0" fillId="0" borderId="0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47"/>
  <sheetViews>
    <sheetView tabSelected="1" workbookViewId="0">
      <selection activeCell="L8" sqref="L8"/>
    </sheetView>
  </sheetViews>
  <sheetFormatPr defaultRowHeight="14.4" x14ac:dyDescent="0.3"/>
  <cols>
    <col min="1" max="1" width="31.77734375" customWidth="1"/>
    <col min="3" max="3" width="12.6640625" customWidth="1"/>
    <col min="4" max="4" width="13" customWidth="1"/>
  </cols>
  <sheetData>
    <row r="1" spans="1:8" x14ac:dyDescent="0.3">
      <c r="A1" s="1" t="s">
        <v>2</v>
      </c>
      <c r="B1" s="1" t="s">
        <v>3</v>
      </c>
      <c r="C1" s="1" t="s">
        <v>14</v>
      </c>
      <c r="D1" s="1" t="s">
        <v>15</v>
      </c>
      <c r="E1" s="1" t="s">
        <v>17</v>
      </c>
    </row>
    <row r="2" spans="1:8" x14ac:dyDescent="0.3">
      <c r="A2" s="2" t="s">
        <v>0</v>
      </c>
      <c r="B2" t="b">
        <f>C2=D2</f>
        <v>1</v>
      </c>
      <c r="C2">
        <v>6</v>
      </c>
      <c r="D2">
        <f>pySum(1,2,3)</f>
        <v>6</v>
      </c>
    </row>
    <row r="3" spans="1:8" x14ac:dyDescent="0.3">
      <c r="A3" s="2" t="s">
        <v>5</v>
      </c>
      <c r="B3" t="b">
        <f>NOT(ISERROR(FIND("Error",D3)))</f>
        <v>1</v>
      </c>
      <c r="C3" t="s">
        <v>16</v>
      </c>
      <c r="D3" t="str">
        <f>pySum(1,2)</f>
        <v>Error reading 'z' arg #3: Missing argument</v>
      </c>
    </row>
    <row r="4" spans="1:8" x14ac:dyDescent="0.3">
      <c r="A4" s="2"/>
    </row>
    <row r="5" spans="1:8" x14ac:dyDescent="0.3">
      <c r="A5" s="2" t="s">
        <v>1</v>
      </c>
      <c r="B5" t="b">
        <f>C5=D5</f>
        <v>1</v>
      </c>
      <c r="C5">
        <v>9</v>
      </c>
      <c r="D5">
        <f>pySumNums(1,2,3)</f>
        <v>9</v>
      </c>
    </row>
    <row r="6" spans="1:8" x14ac:dyDescent="0.3">
      <c r="A6" s="2" t="s">
        <v>4</v>
      </c>
      <c r="B6" t="b">
        <f>NOT(ISERROR(FIND("Error",C6)))</f>
        <v>1</v>
      </c>
      <c r="C6" t="str">
        <f>pySumNums(1,2,3.2)</f>
        <v xml:space="preserve">Error reading 'a' arg #3: Failed converting 3.200000: </v>
      </c>
    </row>
    <row r="8" spans="1:8" x14ac:dyDescent="0.3">
      <c r="A8" s="2" t="s">
        <v>6</v>
      </c>
      <c r="B8" t="b">
        <f>D8=C8</f>
        <v>1</v>
      </c>
      <c r="C8">
        <v>3</v>
      </c>
      <c r="D8">
        <f>pyRoundTrip(C8)</f>
        <v>3</v>
      </c>
    </row>
    <row r="9" spans="1:8" x14ac:dyDescent="0.3">
      <c r="A9" s="2" t="s">
        <v>7</v>
      </c>
      <c r="B9" t="b">
        <f>D9=C9</f>
        <v>1</v>
      </c>
      <c r="C9">
        <v>3.3</v>
      </c>
      <c r="D9">
        <f>pyRoundTrip(C9)</f>
        <v>3.3</v>
      </c>
    </row>
    <row r="10" spans="1:8" x14ac:dyDescent="0.3">
      <c r="A10" s="2" t="s">
        <v>8</v>
      </c>
      <c r="B10" t="b">
        <f>D10=C10</f>
        <v>1</v>
      </c>
      <c r="C10" s="3">
        <v>42736</v>
      </c>
      <c r="D10" s="3">
        <f>pyRoundTrip(C10)</f>
        <v>42736</v>
      </c>
    </row>
    <row r="11" spans="1:8" x14ac:dyDescent="0.3">
      <c r="A11" s="2" t="s">
        <v>9</v>
      </c>
      <c r="B11" t="b">
        <f>C11=D11</f>
        <v>1</v>
      </c>
      <c r="C11">
        <f>SUM(E11:G11)</f>
        <v>6</v>
      </c>
      <c r="D11">
        <f>SUM(pyRoundTrip(E11:G11))</f>
        <v>6</v>
      </c>
      <c r="E11" s="9">
        <v>1</v>
      </c>
      <c r="F11" s="10">
        <v>2</v>
      </c>
      <c r="G11" s="11">
        <v>3</v>
      </c>
    </row>
    <row r="12" spans="1:8" x14ac:dyDescent="0.3">
      <c r="A12" s="2" t="s">
        <v>10</v>
      </c>
      <c r="B12" t="b">
        <f>ISNA(D12)</f>
        <v>1</v>
      </c>
      <c r="C12" t="e">
        <f>NA()</f>
        <v>#N/A</v>
      </c>
      <c r="D12" t="e">
        <f>(pyRoundTrip(E12:G12))</f>
        <v>#N/A</v>
      </c>
    </row>
    <row r="13" spans="1:8" x14ac:dyDescent="0.3">
      <c r="A13" s="2" t="s">
        <v>27</v>
      </c>
      <c r="B13" t="e">
        <f ca="1">C13=D13</f>
        <v>#VALUE!</v>
      </c>
      <c r="C13">
        <f>C11</f>
        <v>6</v>
      </c>
      <c r="D13" t="e">
        <f ca="1">SUM(pyRoundTrip(_xll.xloRef(E11:G11)))</f>
        <v>#VALUE!</v>
      </c>
    </row>
    <row r="15" spans="1:8" x14ac:dyDescent="0.3">
      <c r="A15" s="2" t="s">
        <v>11</v>
      </c>
      <c r="B15" t="b">
        <f>C15=D15</f>
        <v>1</v>
      </c>
      <c r="C15">
        <f t="array" ref="C15">SUM(F15:H15*E15)</f>
        <v>18.600000000000001</v>
      </c>
      <c r="D15">
        <f>SUM(pyTestArr1d(F15:H15,E15))</f>
        <v>18.600000000000001</v>
      </c>
      <c r="E15">
        <v>3.1</v>
      </c>
      <c r="F15" s="9">
        <v>1</v>
      </c>
      <c r="G15" s="10">
        <v>2</v>
      </c>
      <c r="H15" s="11">
        <v>3</v>
      </c>
    </row>
    <row r="16" spans="1:8" x14ac:dyDescent="0.3">
      <c r="A16" s="2" t="s">
        <v>12</v>
      </c>
      <c r="B16" t="b">
        <f>NOT(ISERROR(FIND("Error",D16)))</f>
        <v>1</v>
      </c>
      <c r="C16" t="s">
        <v>16</v>
      </c>
      <c r="D16" t="str">
        <f>pyTestArr1d(F16:H17,E16)</f>
        <v>Error reading 'x' arg #1: Expecting a 1-dim array</v>
      </c>
      <c r="E16">
        <v>3.1</v>
      </c>
      <c r="F16" s="5">
        <v>1</v>
      </c>
      <c r="G16" s="12">
        <v>2</v>
      </c>
      <c r="H16" s="6">
        <v>3</v>
      </c>
    </row>
    <row r="17" spans="1:8" x14ac:dyDescent="0.3">
      <c r="F17" s="7">
        <v>4</v>
      </c>
      <c r="G17" s="13">
        <v>5</v>
      </c>
      <c r="H17" s="8">
        <v>6</v>
      </c>
    </row>
    <row r="19" spans="1:8" x14ac:dyDescent="0.3">
      <c r="A19" s="2" t="s">
        <v>13</v>
      </c>
      <c r="B19" t="b">
        <f>C19=D19</f>
        <v>1</v>
      </c>
      <c r="C19">
        <f>SUM(E19:F20)</f>
        <v>10</v>
      </c>
      <c r="D19">
        <f>SUM(pyTestArr2d(E19:F20))</f>
        <v>10</v>
      </c>
      <c r="E19" s="5">
        <v>1</v>
      </c>
      <c r="F19" s="6">
        <v>2</v>
      </c>
    </row>
    <row r="20" spans="1:8" x14ac:dyDescent="0.3">
      <c r="A20" s="2" t="s">
        <v>28</v>
      </c>
      <c r="B20" t="e">
        <f ca="1">C20=D20</f>
        <v>#VALUE!</v>
      </c>
      <c r="C20">
        <f>C19</f>
        <v>10</v>
      </c>
      <c r="D20" t="e">
        <f ca="1">SUM(pyTestArr2d(_xll.xloRef(E19:F20)))</f>
        <v>#VALUE!</v>
      </c>
      <c r="E20" s="7">
        <v>3</v>
      </c>
      <c r="F20" s="8">
        <v>4</v>
      </c>
    </row>
    <row r="23" spans="1:8" x14ac:dyDescent="0.3">
      <c r="A23" s="2" t="s">
        <v>22</v>
      </c>
      <c r="B23" t="b">
        <f>C23=D23</f>
        <v>1</v>
      </c>
      <c r="C23" t="str">
        <f>F24</f>
        <v>parrot</v>
      </c>
      <c r="D23" t="str">
        <f>pyTestKwargs(E24,E23:F24)</f>
        <v>parrot</v>
      </c>
      <c r="E23" s="5" t="s">
        <v>18</v>
      </c>
      <c r="F23" s="6" t="s">
        <v>20</v>
      </c>
    </row>
    <row r="24" spans="1:8" x14ac:dyDescent="0.3">
      <c r="A24" s="2" t="s">
        <v>29</v>
      </c>
      <c r="B24" t="e">
        <f ca="1">C24=D24</f>
        <v>#VALUE!</v>
      </c>
      <c r="C24" t="str">
        <f>C23</f>
        <v>parrot</v>
      </c>
      <c r="D24" t="e">
        <f ca="1">pyTestKwargs(E24,_xll.xloRef(E23:F24))</f>
        <v>#VALUE!</v>
      </c>
      <c r="E24" s="7" t="s">
        <v>19</v>
      </c>
      <c r="F24" s="8" t="s">
        <v>21</v>
      </c>
    </row>
    <row r="27" spans="1:8" x14ac:dyDescent="0.3">
      <c r="A27" s="2" t="s">
        <v>23</v>
      </c>
      <c r="B27" t="e">
        <f ca="1">C27=D27</f>
        <v>#VALUE!</v>
      </c>
      <c r="C27" t="str">
        <f>E27</f>
        <v>foo</v>
      </c>
      <c r="D27" s="4" t="e">
        <f ca="1">_xll.pyTestAsync(E27,1)</f>
        <v>#VALUE!</v>
      </c>
      <c r="E27" s="14" t="s">
        <v>24</v>
      </c>
    </row>
    <row r="28" spans="1:8" x14ac:dyDescent="0.3">
      <c r="B28" t="e">
        <f ca="1">C28=D28</f>
        <v>#VALUE!</v>
      </c>
      <c r="C28" t="str">
        <f>C27</f>
        <v>foo</v>
      </c>
      <c r="D28" t="e">
        <f ca="1">_xll.pyTestAsyncThread(E27,1)</f>
        <v>#VALUE!</v>
      </c>
    </row>
    <row r="30" spans="1:8" x14ac:dyDescent="0.3">
      <c r="A30" s="2" t="s">
        <v>26</v>
      </c>
      <c r="B30" t="b">
        <f>C30=D30</f>
        <v>1</v>
      </c>
      <c r="C30" t="s">
        <v>25</v>
      </c>
      <c r="D30" t="str">
        <f>pyTestCache(E30)</f>
        <v>Hello world</v>
      </c>
      <c r="E30" t="str">
        <f>pyTestCache()</f>
        <v>欣[PythonTest.xlsm]Sheet1!R30C5</v>
      </c>
    </row>
    <row r="32" spans="1:8" x14ac:dyDescent="0.3">
      <c r="A32" s="2" t="s">
        <v>30</v>
      </c>
      <c r="B32" t="b">
        <f>C32=D32</f>
        <v>1</v>
      </c>
      <c r="C32">
        <v>4</v>
      </c>
      <c r="D32">
        <f>SUM(pyTestIter(4,1))</f>
        <v>4</v>
      </c>
    </row>
    <row r="34" spans="1:8" x14ac:dyDescent="0.3">
      <c r="A34" t="s">
        <v>31</v>
      </c>
      <c r="B34" t="str">
        <f>pyTestCom()</f>
        <v>{90160000-000F-0000-1000-0000000FF1CE}</v>
      </c>
    </row>
    <row r="36" spans="1:8" x14ac:dyDescent="0.3">
      <c r="A36" t="s">
        <v>32</v>
      </c>
      <c r="B36" t="e">
        <f ca="1">C36=D36</f>
        <v>#VALUE!</v>
      </c>
      <c r="C36" s="21" t="str">
        <f ca="1">MID(CELL("filename"),FIND("[",CELL("filename")),100)&amp;"!"&amp;ADDRESS(ROW(F37),COLUMN(F37),4)</f>
        <v>[PythonTest.xlsm]Sheet1!F37</v>
      </c>
      <c r="D36" s="21" t="e">
        <f ca="1">pyTestRange(E36:F37)</f>
        <v>#VALUE!</v>
      </c>
      <c r="E36" s="5">
        <v>1</v>
      </c>
      <c r="F36" s="6">
        <v>2</v>
      </c>
    </row>
    <row r="37" spans="1:8" x14ac:dyDescent="0.3">
      <c r="E37" s="7">
        <v>3</v>
      </c>
      <c r="F37" s="8">
        <v>4</v>
      </c>
    </row>
    <row r="39" spans="1:8" x14ac:dyDescent="0.3">
      <c r="A39" t="s">
        <v>37</v>
      </c>
      <c r="B39" t="b">
        <f>C39=D39</f>
        <v>1</v>
      </c>
      <c r="C39">
        <v>2</v>
      </c>
      <c r="D39">
        <f>pyTestCustomConv(1)</f>
        <v>2</v>
      </c>
    </row>
    <row r="40" spans="1:8" x14ac:dyDescent="0.3">
      <c r="B40" t="b">
        <f>C40=D40</f>
        <v>1</v>
      </c>
      <c r="C40">
        <f>2*SUM(E40:F40)</f>
        <v>14</v>
      </c>
      <c r="D40">
        <f>SUM(pyTestCustomConv(E40:F40))</f>
        <v>14</v>
      </c>
      <c r="E40" s="9">
        <v>3</v>
      </c>
      <c r="F40" s="11">
        <v>4</v>
      </c>
    </row>
    <row r="42" spans="1:8" x14ac:dyDescent="0.3">
      <c r="A42" t="s">
        <v>39</v>
      </c>
      <c r="B42">
        <v>2</v>
      </c>
      <c r="C42">
        <f>F43</f>
        <v>2</v>
      </c>
      <c r="D42">
        <f>pyTestFrameFetch(H42,,"B")</f>
        <v>2</v>
      </c>
      <c r="E42" s="15" t="s">
        <v>38</v>
      </c>
      <c r="F42" s="16" t="s">
        <v>33</v>
      </c>
      <c r="G42" s="17" t="s">
        <v>34</v>
      </c>
      <c r="H42" t="str">
        <f>pyTestDFrame(E42:G43)</f>
        <v>欣[PythonTest.xlsm]Sheet1!R42C8</v>
      </c>
    </row>
    <row r="43" spans="1:8" x14ac:dyDescent="0.3">
      <c r="E43" s="18">
        <v>1</v>
      </c>
      <c r="F43" s="19">
        <v>2</v>
      </c>
      <c r="G43" s="20">
        <v>3</v>
      </c>
    </row>
    <row r="45" spans="1:8" x14ac:dyDescent="0.3">
      <c r="A45" t="s">
        <v>40</v>
      </c>
      <c r="B45" t="b">
        <f>C45=D45</f>
        <v>1</v>
      </c>
      <c r="C45" t="str">
        <f>G46</f>
        <v>Foo</v>
      </c>
      <c r="D45" t="str">
        <f>pyTestFrameFetch(H45,0,"B")</f>
        <v>Foo</v>
      </c>
      <c r="E45" s="5" t="s">
        <v>41</v>
      </c>
      <c r="F45" s="12" t="s">
        <v>38</v>
      </c>
      <c r="G45" s="6" t="s">
        <v>33</v>
      </c>
      <c r="H45" t="str">
        <f>pyTestDFrameIndex(E45:G47)</f>
        <v>欣[PythonTest.xlsm]Sheet1!R45C8</v>
      </c>
    </row>
    <row r="46" spans="1:8" x14ac:dyDescent="0.3">
      <c r="B46" t="b">
        <f t="shared" ref="B46:B47" si="0">C46=D46</f>
        <v>1</v>
      </c>
      <c r="C46">
        <f>F47</f>
        <v>2.1</v>
      </c>
      <c r="D46">
        <f t="array" ref="D46:D47">TRANSPOSE(pyTestFrameFetch(H45,1))</f>
        <v>2.1</v>
      </c>
      <c r="E46" s="22">
        <v>0</v>
      </c>
      <c r="F46" s="23">
        <v>5.3</v>
      </c>
      <c r="G46" s="24" t="s">
        <v>18</v>
      </c>
    </row>
    <row r="47" spans="1:8" x14ac:dyDescent="0.3">
      <c r="B47" t="b">
        <f t="shared" si="0"/>
        <v>1</v>
      </c>
      <c r="C47" t="str">
        <f>G47</f>
        <v>Bar</v>
      </c>
      <c r="D47" t="str">
        <v>Bar</v>
      </c>
      <c r="E47" s="7">
        <v>1</v>
      </c>
      <c r="F47" s="13">
        <v>2.1</v>
      </c>
      <c r="G47" s="8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/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36</v>
      </c>
      <c r="E2" t="s">
        <v>33</v>
      </c>
    </row>
    <row r="3" spans="2:5" x14ac:dyDescent="0.3">
      <c r="D3" t="s">
        <v>34</v>
      </c>
      <c r="E3" t="s">
        <v>35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2020-03-21T19:03:37Z</dcterms:modified>
</cp:coreProperties>
</file>