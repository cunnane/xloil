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21718EC4-18C4-4E5F-8BA8-EE9B6B8CE2D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D3" i="1" s="1"/>
  <c r="B96" i="1"/>
  <c r="C96" i="1"/>
  <c r="C95" i="1"/>
  <c r="C104" i="1"/>
  <c r="C105" i="1" s="1"/>
  <c r="C106" i="1" s="1"/>
  <c r="B106" i="1" s="1"/>
  <c r="C68" i="1"/>
  <c r="D95" i="1"/>
  <c r="D104" i="1"/>
  <c r="D102" i="1"/>
  <c r="D101" i="1"/>
  <c r="D11" i="1"/>
  <c r="D99" i="1"/>
  <c r="D92" i="1"/>
  <c r="C99" i="1"/>
  <c r="D91" i="1"/>
  <c r="D105" i="1"/>
  <c r="D1" i="1"/>
  <c r="D106" i="1"/>
  <c r="D96" i="1"/>
  <c r="D32" i="1"/>
  <c r="B95" i="1" l="1"/>
  <c r="B105" i="1"/>
  <c r="B104" i="1"/>
  <c r="B101" i="1"/>
  <c r="B102" i="1"/>
  <c r="B99" i="1"/>
  <c r="B91" i="1"/>
  <c r="C36" i="1"/>
  <c r="C42" i="1"/>
  <c r="D36" i="1"/>
  <c r="B36" i="1" l="1"/>
  <c r="H85" i="1"/>
  <c r="F85" i="1"/>
  <c r="D81" i="1"/>
  <c r="D79" i="1"/>
  <c r="D84" i="1" a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D31" i="1"/>
  <c r="C66" i="1"/>
  <c r="D42" i="1"/>
  <c r="C67" i="1"/>
  <c r="F76" i="1" l="1"/>
  <c r="G76" i="1"/>
  <c r="G77" i="1" s="1"/>
  <c r="C62" i="1"/>
  <c r="F77" i="1"/>
  <c r="E77" i="1"/>
  <c r="D63" i="1"/>
  <c r="D10" i="1"/>
  <c r="B71" i="1" l="1"/>
  <c r="B63" i="1"/>
  <c r="D62" i="1"/>
  <c r="D6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C10" i="1"/>
  <c r="D46" i="1"/>
  <c r="C40" i="1"/>
  <c r="I51" i="1"/>
  <c r="D34" i="1"/>
  <c r="I48" i="1"/>
  <c r="D16" i="1"/>
  <c r="D24" i="1"/>
  <c r="D20" i="1"/>
  <c r="D13" i="1"/>
  <c r="D9" i="1"/>
  <c r="D12" i="1"/>
  <c r="D7" i="1"/>
  <c r="D23" i="1"/>
  <c r="D15" i="1"/>
  <c r="D38" i="1"/>
  <c r="D19" i="1"/>
  <c r="D45" i="1"/>
  <c r="D17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51" i="1"/>
  <c r="D52" i="1" a="1"/>
  <c r="D59" i="1" a="1"/>
  <c r="D35" i="1"/>
  <c r="D55" i="1" a="1"/>
  <c r="D48" i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<sst xmlns="http://schemas.openxmlformats.org/spreadsheetml/2006/main" count="77" uniqueCount="72">
  <si>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</si>
  <si>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</si>
  <si>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</si>
  <si>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</si>
  <si>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</si>
  <si>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</si>
  <si>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</si>
  <si>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</si>
  <si>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</si>
  <si>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</si>
  <si>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</si>
  <si>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</si>
  <si>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</si>
  <si>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</si>
  <si>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</si>
  <si>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</si>
  <si>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</si>
  <si>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</si>
  <si>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</si>
  <si>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</si>
  <si>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</si>
  <si>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</si>
  <si>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</si>
  <si>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</si>
  <si>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</si>
  <si>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</si>
  <si>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</si>
  <si>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</si>
  <si>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</si>
  <si>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</si>
  <si>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</si>
  <si>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</si>
  <si>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</si>
  <si>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</si>
  <si>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</si>
  <si>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</si>
  <si>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</si>
  <si>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</si>
  <si>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</si>
  <si>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</si>
  <si>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</si>
  <si>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</si>
  <si>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</si>
  <si>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</si>
  <si>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</si>
  <si>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</si>
  <si>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</si>
  <si>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</si>
  <si>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</si>
  <si>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</si>
  <si>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</si>
  <si>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</si>
  <si>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</si>
  <si>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</si>
  <si>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</si>
  <si>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</si>
  <si>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</si>
  <si>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</si>
  <si>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</si>
  <si>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</si>
  <si>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</si>
  <si>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</si>
  <si>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</si>
  <si>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pyTestCall</t>
  </si>
  <si>
    <t>=pyTestCall(1,2,3)</t>
  </si>
  <si>
    <t>pyTestWorkbooks</t>
  </si>
  <si>
    <t>FUNCTION TESTS</t>
  </si>
  <si>
    <t>MACRO TESTS</t>
  </si>
  <si>
    <t>Ham</t>
  </si>
  <si>
    <t>pyTestExcelFunc</t>
  </si>
  <si>
    <t>pyTestRangeFormula</t>
  </si>
  <si>
    <t>Calc on Test1 finished at: 2022-01-01 11:19:47.855067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</si>
</sst>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5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7a89ace3.1c87.4fae.9d5a.643772513869">
      <tp>
        <v>0</v>
        <stp/>
        <stp>{19C00DBA-D156-4C56-89C1-3F8ED5346F0B}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06"/>
  <sheetViews>
    <sheetView showGridLines="0" tabSelected="1" topLeftCell="A78" workbookViewId="0">
      <selection activeCell="M5" sqref="M5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71</v>
      </c>
      <c r="B1" s="6"/>
      <c r="C1" s="6"/>
      <c r="D1" s="26">
        <f>pyTestAsyncGen(2)</f>
        <v>44562.472071673765</v>
      </c>
      <c r="F1" s="36"/>
      <c r="G1" t="s">
        <v>68</v>
      </c>
      <c r="H1" t="str">
        <f>G1</f>
        <v>Ham</v>
      </c>
      <c r="I1"/>
      <c r="K1" s="38"/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66</v>
      </c>
      <c r="B3" s="35" t="e">
        <f ca="1">AND(B6:B199)</f>
        <v>#VALUE!</v>
      </c>
      <c r="C3" s="34" t="s">
        <v>67</v>
      </c>
      <c r="D3" s="35" t="b">
        <f>AND(G1="Ham",H1=G1)</f>
        <v>1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 t="s">
        <v>63</v>
      </c>
      <c r="D30" s="9" t="s">
        <v>64</v>
      </c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欣[000002084BB2B080]84003:84003CustomObj,A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e">
        <f ca="1">INDEX(_xll.xloVal(D36),1,1)=C36</f>
        <v>#VALUE!</v>
      </c>
      <c r="C36" t="str">
        <f>G27</f>
        <v>Foo</v>
      </c>
      <c r="D36" s="7" t="str">
        <f>pyTestToCache(G27:H28)</f>
        <v>永[000002084BB2B080]8c003:8c003,A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欣[000002084BB2B080]bc008:bc008DataFrame,A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欣[000002084BB2B080]c8008:c8008,A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e">
        <f ca="1">_xll.pyGetUrl(D66)</f>
        <v>#VALUE!</v>
      </c>
      <c r="D66" t="s">
        <v>42</v>
      </c>
    </row>
    <row r="67" spans="1:7" x14ac:dyDescent="0.3">
      <c r="A67" s="5"/>
      <c r="C67" s="24" t="e">
        <f ca="1">_xll.pyGetUrl(D67)</f>
        <v>#VALUE!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e">
        <f ca="1">E77&lt;&gt;F77</f>
        <v>#VALUE!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 t="e">
        <f ca="1">_xll.pyThreadTest(E71,E72,E73,E74,E75,E76)</f>
        <v>#VALUE!</v>
      </c>
      <c r="F77" s="7" t="e">
        <f ca="1">_xll.pyThreadTest(F71,F72,F73,F74,F75,F76)</f>
        <v>#VALUE!</v>
      </c>
      <c r="G77" s="7" t="e">
        <f ca="1">_xll.pyThreadTest(G71,G72,G73,G74,G75,G76)</f>
        <v>#VALUE!</v>
      </c>
    </row>
    <row r="79" spans="1:7" x14ac:dyDescent="0.3">
      <c r="A79" s="2" t="s">
        <v>56</v>
      </c>
      <c r="B79" t="e">
        <f ca="1">C79=D81</f>
        <v>#VALUE!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e">
        <f ca="1">_xll.xloPyLoad(D79&amp;"TestModule.py")</f>
        <v>#VALUE!</v>
      </c>
    </row>
    <row r="81" spans="1:8" x14ac:dyDescent="0.3">
      <c r="D81" s="7" t="e">
        <f ca="1">_xll.pyTestLoadMod()</f>
        <v>#VALUE!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C88" s="29"/>
      <c r="D88" s="32">
        <v>37001</v>
      </c>
      <c r="E88" s="30"/>
    </row>
    <row r="89" spans="1:8" x14ac:dyDescent="0.3">
      <c r="C89" s="29"/>
      <c r="D89" s="29"/>
      <c r="E89" s="30"/>
    </row>
    <row r="90" spans="1:8" x14ac:dyDescent="0.3">
      <c r="A90" t="s">
        <v>61</v>
      </c>
      <c r="C90" s="29"/>
      <c r="D90" s="29"/>
      <c r="E90" s="30"/>
    </row>
    <row r="91" spans="1:8" x14ac:dyDescent="0.3">
      <c r="B91" t="b">
        <f>C91:C92=D91:D92</f>
        <v>1</v>
      </c>
      <c r="C91" s="29">
        <v>0</v>
      </c>
      <c r="D91" s="32">
        <f>pyTestDynamic0()</f>
        <v>0</v>
      </c>
      <c r="E91" s="30"/>
    </row>
    <row r="92" spans="1:8" x14ac:dyDescent="0.3">
      <c r="C92" s="29">
        <v>2</v>
      </c>
      <c r="D92" s="32">
        <f>pyTestDynamic2()</f>
        <v>2</v>
      </c>
      <c r="E92" s="30"/>
    </row>
    <row r="93" spans="1:8" x14ac:dyDescent="0.3">
      <c r="C93" s="29"/>
      <c r="D93" s="29"/>
      <c r="E93" s="30"/>
    </row>
    <row r="95" spans="1:8" x14ac:dyDescent="0.3">
      <c r="A95" t="s">
        <v>62</v>
      </c>
      <c r="B95" t="b">
        <f>C95=D95</f>
        <v>1</v>
      </c>
      <c r="C95" s="4" t="str">
        <f>"[PythonTest.xlsm]Test1!R"&amp;ROW(D95)&amp;"C"&amp;COLUMN(D95)</f>
        <v>[PythonTest.xlsm]Test1!R95C4</v>
      </c>
      <c r="D95" s="7" t="str">
        <f>pyTestCaller()</f>
        <v>[PythonTest.xlsm]Test1!R95C4</v>
      </c>
    </row>
    <row r="96" spans="1:8" x14ac:dyDescent="0.3">
      <c r="B96" t="b">
        <f>C96=D96</f>
        <v>1</v>
      </c>
      <c r="C96" s="4" t="str">
        <f>"[PythonTest.xlsm]Test1!R"&amp;ROW(D96)&amp;"C"&amp;COLUMN(D96)</f>
        <v>[PythonTest.xlsm]Test1!R96C4</v>
      </c>
      <c r="D96" s="7" t="str">
        <f>pyTestCaller()</f>
        <v>[PythonTest.xlsm]Test1!R96C4</v>
      </c>
    </row>
    <row r="99" spans="1:4" x14ac:dyDescent="0.3">
      <c r="A99" s="2" t="s">
        <v>65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A101" s="2" t="s">
        <v>69</v>
      </c>
      <c r="B101" t="b">
        <f>C101=D101</f>
        <v>1</v>
      </c>
      <c r="C101">
        <v>6</v>
      </c>
      <c r="D101" s="28">
        <f>pyTestExcelCallAsync(1,2,3)</f>
        <v>6</v>
      </c>
    </row>
    <row r="102" spans="1:4" x14ac:dyDescent="0.3">
      <c r="B102" t="b">
        <f>C102=D102</f>
        <v>1</v>
      </c>
      <c r="C102">
        <v>6</v>
      </c>
      <c r="D102" s="28">
        <f>pyTestExcelCall("sum",1,2,3)</f>
        <v>6</v>
      </c>
    </row>
    <row r="104" spans="1:4" x14ac:dyDescent="0.3">
      <c r="A104" s="2" t="s">
        <v>70</v>
      </c>
      <c r="B104" t="b">
        <f ca="1">C104=D104</f>
        <v>1</v>
      </c>
      <c r="C104" t="str">
        <f ca="1">"="&amp;SUBSTITUTE(CELL("address",C101)&amp;"="&amp;CELL("address",D101),"$","")</f>
        <v>=C101=D101</v>
      </c>
      <c r="D104" s="28" t="str">
        <f>pyTestExcelCall("getcell",6,B101)</f>
        <v>=C101=D101</v>
      </c>
    </row>
    <row r="105" spans="1:4" x14ac:dyDescent="0.3">
      <c r="B105" t="e">
        <f t="shared" ref="B105:B106" ca="1" si="3">C105=D105</f>
        <v>#VALUE!</v>
      </c>
      <c r="C105" t="str">
        <f ca="1">C104</f>
        <v>=C101=D101</v>
      </c>
      <c r="D105" s="28" t="e">
        <f ca="1">_xll.pyTestRangeFormula2(B101)</f>
        <v>#VALUE!</v>
      </c>
    </row>
    <row r="106" spans="1:4" x14ac:dyDescent="0.3">
      <c r="B106" t="b">
        <f t="shared" ca="1" si="3"/>
        <v>1</v>
      </c>
      <c r="C106" t="str">
        <f ca="1">C105</f>
        <v>=C101=D101</v>
      </c>
      <c r="D106" s="28" t="str">
        <f>pyTestRangeFormula(B101)</f>
        <v>=C101=D101</v>
      </c>
    </row>
  </sheetData>
  <conditionalFormatting sqref="B6:B52">
    <cfRule type="expression" dxfId="4" priority="8">
      <formula>IFERROR(NOT(OR(ISBLANK(B6),B6)),TRUE)</formula>
    </cfRule>
  </conditionalFormatting>
  <conditionalFormatting sqref="B3">
    <cfRule type="expression" dxfId="3" priority="4">
      <formula>IFERROR(NOT(OR(ISBLANK(B3),B3)),TRUE)</formula>
    </cfRule>
  </conditionalFormatting>
  <conditionalFormatting sqref="D3">
    <cfRule type="expression" dxfId="2" priority="3">
      <formula>IFERROR(NOT(OR(ISBLANK(D3),D3)),TRUE)</formula>
    </cfRule>
  </conditionalFormatting>
  <conditionalFormatting sqref="B53:B102">
    <cfRule type="expression" dxfId="1" priority="2">
      <formula>IFERROR(NOT(OR(ISBLANK(B53),B53)),TRUE)</formula>
    </cfRule>
  </conditionalFormatting>
  <conditionalFormatting sqref="B104:B106">
    <cfRule type="expression" dxfId="0" priority="1">
      <formula>IFERROR(NOT(OR(ISBLANK(B104),B104)),TRUE)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2022-01-01T11:19:50Z</dcterms:modified>
</cp:coreProperties>
</file>