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B38FB78A-9742-4700-8D48-77D48829BB7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est1" sheetId="1" r:id="rId1"/>
  </sheets>
  <functionGroups builtInGroupCount="19"/>
  <definedNames>
    <definedName name="TestArea" localSheetId="0">Test1!$G$1:$J$3</definedName>
  </definedNames>
  <calcPr calcId="18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C110" i="1"/>
  <c r="C96" i="1"/>
  <c r="C95" i="1"/>
  <c r="C104" i="1"/>
  <c r="C105" i="1" s="1"/>
  <c r="C106" i="1" s="1"/>
  <c r="C68" i="1"/>
  <c r="D92" i="1"/>
  <c r="D105" i="1"/>
  <c r="D99" i="1"/>
  <c r="C99" i="1"/>
  <c r="D101" i="1"/>
  <c r="D102" i="1"/>
  <c r="D109" i="1"/>
  <c r="D32" i="1"/>
  <c r="D104" i="1"/>
  <c r="D110" i="1"/>
  <c r="D91" i="1"/>
  <c r="D106" i="1"/>
  <c r="D108" i="1"/>
  <c r="D11" i="1"/>
  <c r="D96" i="1"/>
  <c r="D95" i="1"/>
  <c r="B110" i="1" l="1"/>
  <c r="C108" i="1"/>
  <c r="B108" i="1" s="1"/>
  <c r="B109" i="1"/>
  <c r="B96" i="1"/>
  <c r="B106" i="1"/>
  <c r="B95" i="1"/>
  <c r="B105" i="1"/>
  <c r="B104" i="1"/>
  <c r="B101" i="1"/>
  <c r="B102" i="1"/>
  <c r="B99" i="1"/>
  <c r="B91" i="1"/>
  <c r="C36" i="1"/>
  <c r="C42" i="1"/>
  <c r="D36" i="1"/>
  <c r="B36" i="1" l="1"/>
  <c r="H85" i="1"/>
  <c r="F85" i="1"/>
  <c r="D84" i="1" a="1"/>
  <c r="D79" i="1"/>
  <c r="D81" i="1"/>
  <c r="D86" i="1" l="1"/>
  <c r="D87" i="1"/>
  <c r="D88" i="1"/>
  <c r="D84" i="1"/>
  <c r="D85" i="1"/>
  <c r="B79" i="1"/>
  <c r="D27" i="1" a="1"/>
  <c r="D80" i="1"/>
  <c r="B84" i="1" l="1"/>
  <c r="D27" i="1"/>
  <c r="E28" i="1"/>
  <c r="B28" i="1" s="1"/>
  <c r="E27" i="1"/>
  <c r="B27" i="1" s="1"/>
  <c r="D28" i="1"/>
  <c r="E74" i="1"/>
  <c r="F74" i="1" s="1"/>
  <c r="G73" i="1"/>
  <c r="F73" i="1"/>
  <c r="E75" i="1" l="1"/>
  <c r="F75" i="1" s="1"/>
  <c r="G74" i="1"/>
  <c r="G75" i="1" l="1"/>
  <c r="E76" i="1"/>
  <c r="D42" i="1"/>
  <c r="C67" i="1"/>
  <c r="C66" i="1"/>
  <c r="D31" i="1"/>
  <c r="F76" i="1" l="1"/>
  <c r="G76" i="1"/>
  <c r="G77" i="1" s="1"/>
  <c r="C62" i="1"/>
  <c r="F77" i="1"/>
  <c r="E77" i="1"/>
  <c r="D10" i="1"/>
  <c r="D63" i="1"/>
  <c r="B71" i="1" l="1"/>
  <c r="B63" i="1"/>
  <c r="D62" i="1"/>
  <c r="D6" i="1"/>
  <c r="B62" i="1" l="1"/>
  <c r="C53" i="1"/>
  <c r="C52" i="1"/>
  <c r="C51" i="1"/>
  <c r="C48" i="1"/>
  <c r="C46" i="1"/>
  <c r="C31" i="1"/>
  <c r="C32" i="1" s="1"/>
  <c r="C23" i="1"/>
  <c r="C24" i="1" s="1"/>
  <c r="C19" i="1" a="1"/>
  <c r="C19" i="1" s="1"/>
  <c r="C16" i="1"/>
  <c r="C15" i="1"/>
  <c r="C17" i="1" s="1"/>
  <c r="C40" i="1"/>
  <c r="D12" i="1"/>
  <c r="D15" i="1"/>
  <c r="D38" i="1"/>
  <c r="D34" i="1"/>
  <c r="D7" i="1"/>
  <c r="D20" i="1"/>
  <c r="D13" i="1"/>
  <c r="D19" i="1"/>
  <c r="D45" i="1"/>
  <c r="I48" i="1"/>
  <c r="D23" i="1"/>
  <c r="C10" i="1"/>
  <c r="I51" i="1"/>
  <c r="D16" i="1"/>
  <c r="D9" i="1"/>
  <c r="D46" i="1"/>
  <c r="D17" i="1"/>
  <c r="D24" i="1"/>
  <c r="B10" i="1" l="1"/>
  <c r="B38" i="1"/>
  <c r="B23" i="1"/>
  <c r="B9" i="1"/>
  <c r="B15" i="1"/>
  <c r="B31" i="1"/>
  <c r="B45" i="1"/>
  <c r="B32" i="1"/>
  <c r="B11" i="1"/>
  <c r="B12" i="1"/>
  <c r="B6" i="1"/>
  <c r="B16" i="1"/>
  <c r="B7" i="1"/>
  <c r="B13" i="1"/>
  <c r="B20" i="1"/>
  <c r="B46" i="1"/>
  <c r="B19" i="1"/>
  <c r="B17" i="1"/>
  <c r="B24" i="1"/>
  <c r="B42" i="1"/>
  <c r="D52" i="1" a="1"/>
  <c r="D35" i="1"/>
  <c r="D59" i="1" a="1"/>
  <c r="D51" i="1"/>
  <c r="D48" i="1"/>
  <c r="D55" i="1" a="1"/>
  <c r="B3" i="1" l="1"/>
  <c r="F59" i="1"/>
  <c r="E60" i="1"/>
  <c r="F60" i="1"/>
  <c r="E59" i="1"/>
  <c r="D60" i="1"/>
  <c r="D59" i="1"/>
  <c r="F56" i="1"/>
  <c r="D57" i="1"/>
  <c r="D56" i="1"/>
  <c r="D55" i="1"/>
  <c r="F55" i="1"/>
  <c r="E56" i="1"/>
  <c r="F57" i="1"/>
  <c r="E55" i="1"/>
  <c r="E57" i="1"/>
  <c r="B48" i="1"/>
  <c r="D52" i="1"/>
  <c r="B52" i="1" s="1"/>
  <c r="D53" i="1"/>
  <c r="B53" i="1" s="1"/>
  <c r="B51" i="1"/>
  <c r="B35" i="1"/>
  <c r="B59" i="1" l="1" a="1"/>
  <c r="B59" i="1"/>
  <c r="B55" i="1" a="1"/>
  <c r="B55" i="1" s="1"/>
</calcChain>
</file>

<file path=xl/sharedStrings.xml><?xml version="1.0" encoding="utf-8"?>
<sst xmlns="http://schemas.openxmlformats.org/spreadsheetml/2006/main" count="81" uniqueCount="73">
  <si>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</si>
  <si>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</si>
  <si>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</si>
  <si>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</si>
  <si>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</si>
  <si>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</si>
  <si>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</si>
  <si>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</si>
  <si>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</si>
  <si>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</si>
  <si>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</si>
  <si>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</si>
  <si>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</si>
  <si>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</si>
  <si>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</si>
  <si>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</si>
  <si>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</si>
  <si>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</si>
  <si>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</si>
  <si>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</si>
  <si>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</si>
  <si>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</si>
  <si>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</si>
  <si>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</si>
  <si>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</si>
  <si>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</si>
  <si>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</si>
  <si>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</si>
  <si>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</si>
  <si>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</si>
  <si>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</si>
  <si>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</si>
  <si>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</si>
  <si>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</si>
  <si>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</si>
  <si>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</si>
  <si>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</si>
  <si>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</si>
  <si>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</si>
  <si>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</si>
  <si>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</si>
  <si>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</si>
  <si>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</si>
  <si>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</si>
  <si>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</si>
  <si>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</si>
  <si>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</si>
  <si>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</si>
  <si>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</si>
  <si>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</si>
  <si>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</si>
  <si>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</si>
  <si>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</si>
  <si>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</si>
  <si>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</si>
  <si>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</si>
  <si>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xloPyLoad</t>
  </si>
  <si>
    <t>Great Success!</t>
  </si>
  <si>
    <t>Test external module load</t>
  </si>
  <si>
    <t>pyTestDateConv</t>
  </si>
  <si>
    <t>pyTestToCache</t>
  </si>
  <si>
    <t>pyTestDynamic</t>
  </si>
  <si>
    <t>pyTestCaller</t>
  </si>
  <si>
    <t>pyTestWorkbooks</t>
  </si>
  <si>
    <t>FUNCTION TESTS</t>
  </si>
  <si>
    <t>MACRO TESTS</t>
  </si>
  <si>
    <t>pyTestExcelFunc</t>
  </si>
  <si>
    <t>pyTestRangeFormula</t>
  </si>
  <si>
    <t>pyTestAppRun</t>
  </si>
  <si>
    <t>Pythian</t>
  </si>
  <si>
    <t>=pyTestAsyncGen(2)</t>
  </si>
  <si>
    <t>OK</t>
  </si>
  <si>
    <t>Calc on Test1 finished at: 2022-01-04 17:02:31.817383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</si>
</sst>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/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1" fillId="0" borderId="0" xfId="0" applyFont="1" applyBorder="1"/>
    <xf numFmtId="0" fontId="0" fillId="0" borderId="0" xfId="0" applyFill="1"/>
    <xf numFmtId="0" fontId="1" fillId="0" borderId="0" xfId="0" applyFont="1" applyFill="1"/>
    <xf numFmtId="14" fontId="0" fillId="0" borderId="0" xfId="0" applyNumberFormat="1" applyFill="1"/>
    <xf numFmtId="0" fontId="0" fillId="0" borderId="0" xfId="0" quotePrefix="1" applyFill="1"/>
    <xf numFmtId="0" fontId="0" fillId="0" borderId="0" xfId="0" applyFill="1" applyAlignment="1">
      <alignment horizontal="right"/>
    </xf>
    <xf numFmtId="0" fontId="2" fillId="0" borderId="0" xfId="0" applyFont="1" applyFill="1"/>
    <xf numFmtId="0" fontId="0" fillId="0" borderId="0" xfId="0" applyFont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14" fontId="0" fillId="3" borderId="0" xfId="0" applyNumberFormat="1" applyFill="1" applyBorder="1"/>
    <xf numFmtId="14" fontId="0" fillId="3" borderId="0" xfId="0" quotePrefix="1" applyNumberFormat="1" applyFill="1" applyBorder="1"/>
    <xf numFmtId="0" fontId="0" fillId="0" borderId="0" xfId="0" quotePrefix="1"/>
    <xf numFmtId="0" fontId="0" fillId="0" borderId="0" xfId="0" applyNumberFormat="1" applyBorder="1"/>
    <xf numFmtId="0" fontId="0" fillId="0" borderId="0" xfId="0" quotePrefix="1" applyNumberFormat="1"/>
    <xf numFmtId="0" fontId="3" fillId="0" borderId="0" xfId="1"/>
    <xf numFmtId="0" fontId="0" fillId="2" borderId="0" xfId="0" applyFill="1" applyBorder="1"/>
    <xf numFmtId="0" fontId="0" fillId="0" borderId="0" xfId="0" applyNumberFormat="1"/>
    <xf numFmtId="0" fontId="0" fillId="0" borderId="0" xfId="0" applyNumberFormat="1" applyFill="1"/>
    <xf numFmtId="0" fontId="0" fillId="3" borderId="0" xfId="0" applyFill="1"/>
    <xf numFmtId="0" fontId="0" fillId="2" borderId="0" xfId="0" applyNumberFormat="1" applyFill="1"/>
    <xf numFmtId="0" fontId="0" fillId="0" borderId="0" xfId="0" quotePrefix="1" applyBorder="1"/>
    <xf numFmtId="0" fontId="1" fillId="0" borderId="0" xfId="0" quotePrefix="1" applyNumberFormat="1" applyFont="1"/>
    <xf numFmtId="0" fontId="0" fillId="0" borderId="1" xfId="0" applyBorder="1"/>
    <xf numFmtId="0" fontId="0" fillId="0" borderId="2" xfId="0" applyBorder="1"/>
    <xf numFmtId="0" fontId="0" fillId="0" borderId="3" xfId="0" applyFill="1" applyBorder="1"/>
    <xf numFmtId="0" fontId="0" fillId="0" borderId="4" xfId="0" applyFill="1" applyBorder="1"/>
  </cellXfs>
  <cellStyles count="2">
    <cellStyle name="Hyperlink" xfId="1" builtinId="8"/>
    <cellStyle name="Normal" xfId="0" builtinId="0"/>
  </cellStyles>
  <dxfs count="6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xloil.5e82c47e.929e.4690.b5b9.df1d29495375">
      <tp>
        <v>0</v>
        <stp/>
        <stp>{90BF0F17-2B56-4928-AD7C-2DDD680C5D1A}</stp>
        <tr r="D95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0</xdr:row>
          <xdr:rowOff>137160</xdr:rowOff>
        </xdr:from>
        <xdr:to>
          <xdr:col>5</xdr:col>
          <xdr:colOff>822960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lockchain.info/tobtc?currency=USD&amp;value=5000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110"/>
  <sheetViews>
    <sheetView showGridLines="0" tabSelected="1" topLeftCell="B1" workbookViewId="0">
      <selection activeCell="J17" sqref="J16:J17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28.88671875" customWidth="1"/>
    <col min="4" max="4" width="18.21875" customWidth="1"/>
    <col min="5" max="5" width="11.44140625" style="12" customWidth="1"/>
    <col min="6" max="6" width="15" style="5" customWidth="1"/>
    <col min="7" max="7" width="10" style="5" bestFit="1" customWidth="1"/>
    <col min="8" max="8" width="15.88671875" style="5" customWidth="1"/>
    <col min="9" max="9" width="8.88671875" style="5"/>
  </cols>
  <sheetData>
    <row r="1" spans="1:11" x14ac:dyDescent="0.3">
      <c r="A1" s="6" t="s">
        <v>72</v>
      </c>
      <c r="B1" s="6"/>
      <c r="C1" s="6"/>
      <c r="D1" s="26" t="s">
        <v>70</v>
      </c>
      <c r="F1" s="36"/>
      <c r="G1" t="s">
        <v>71</v>
      </c>
      <c r="H1" t="s">
        <v>69</v>
      </c>
      <c r="I1" t="s">
        <v>69</v>
      </c>
      <c r="J1" t="s">
        <v>69</v>
      </c>
      <c r="K1" s="38" t="s">
        <v>69</v>
      </c>
    </row>
    <row r="2" spans="1:11" x14ac:dyDescent="0.3">
      <c r="A2" s="26"/>
      <c r="B2" s="26"/>
      <c r="C2" s="26"/>
      <c r="D2" s="26"/>
      <c r="F2" s="36"/>
      <c r="G2"/>
      <c r="H2"/>
      <c r="I2"/>
      <c r="K2" s="38"/>
    </row>
    <row r="3" spans="1:11" x14ac:dyDescent="0.3">
      <c r="A3" s="34" t="s">
        <v>64</v>
      </c>
      <c r="B3" s="35" t="e">
        <f ca="1">AND(B6:B199)</f>
        <v>#VALUE!</v>
      </c>
      <c r="C3" s="34" t="s">
        <v>65</v>
      </c>
      <c r="D3" s="35" t="b">
        <f>AND(G1="Ham",H1=G1)</f>
        <v>0</v>
      </c>
      <c r="F3" s="36"/>
      <c r="G3"/>
      <c r="H3"/>
      <c r="I3"/>
      <c r="K3" s="38"/>
    </row>
    <row r="4" spans="1:11" x14ac:dyDescent="0.3">
      <c r="A4" s="17"/>
      <c r="B4" s="12"/>
      <c r="C4" s="12"/>
      <c r="G4" s="37"/>
      <c r="H4" s="37"/>
      <c r="I4" s="37"/>
      <c r="J4" s="37"/>
      <c r="K4" s="12"/>
    </row>
    <row r="5" spans="1:11" x14ac:dyDescent="0.3">
      <c r="A5" s="1" t="s">
        <v>38</v>
      </c>
      <c r="B5" s="1" t="s">
        <v>2</v>
      </c>
      <c r="C5" s="1" t="s">
        <v>13</v>
      </c>
      <c r="D5" s="1" t="s">
        <v>14</v>
      </c>
      <c r="E5" s="13"/>
      <c r="F5" s="11" t="s">
        <v>16</v>
      </c>
    </row>
    <row r="6" spans="1:11" x14ac:dyDescent="0.3">
      <c r="A6" s="2" t="s">
        <v>0</v>
      </c>
      <c r="B6" t="b">
        <f>C6=D6</f>
        <v>1</v>
      </c>
      <c r="C6">
        <v>6</v>
      </c>
      <c r="D6" s="7">
        <f>pySum(1,2,3)</f>
        <v>6</v>
      </c>
    </row>
    <row r="7" spans="1:11" x14ac:dyDescent="0.3">
      <c r="A7" s="2" t="s">
        <v>4</v>
      </c>
      <c r="B7" t="b">
        <f>NOT(ISERROR(FIND("Error",D7)))</f>
        <v>1</v>
      </c>
      <c r="C7" t="s">
        <v>15</v>
      </c>
      <c r="D7" s="10" t="str">
        <f>pySum(1,2)</f>
        <v>Error in arg 3 'z': Cannot convert : Unknown type</v>
      </c>
      <c r="H7" s="25"/>
    </row>
    <row r="8" spans="1:11" x14ac:dyDescent="0.3">
      <c r="A8" s="2"/>
      <c r="F8" s="33"/>
    </row>
    <row r="9" spans="1:11" x14ac:dyDescent="0.3">
      <c r="A9" s="2" t="s">
        <v>1</v>
      </c>
      <c r="B9" t="b">
        <f>C9=D9</f>
        <v>1</v>
      </c>
      <c r="C9">
        <v>9</v>
      </c>
      <c r="D9" s="7">
        <f>pySumNums(1,2,3)</f>
        <v>9</v>
      </c>
    </row>
    <row r="10" spans="1:11" x14ac:dyDescent="0.3">
      <c r="A10" s="2" t="s">
        <v>3</v>
      </c>
      <c r="B10" t="b">
        <f>NOT(ISERROR(FIND("Error",C10)))</f>
        <v>1</v>
      </c>
      <c r="C10" t="str">
        <f>pySumNums(1,2,3.2)</f>
        <v>Error in arg 3 'a': Cannot convert 3.2: Expected int</v>
      </c>
      <c r="D10" s="10" t="str">
        <f>pySumNums(1,2,3.2)</f>
        <v>Error in arg 3 'a': Cannot convert 3.2: Expected int</v>
      </c>
    </row>
    <row r="11" spans="1:11" x14ac:dyDescent="0.3">
      <c r="A11" s="2" t="s">
        <v>5</v>
      </c>
      <c r="B11" s="18" t="b">
        <f>D11=C11</f>
        <v>1</v>
      </c>
      <c r="C11">
        <v>3</v>
      </c>
      <c r="D11" s="7">
        <f>pyRoundTrip(C11)</f>
        <v>3</v>
      </c>
    </row>
    <row r="12" spans="1:11" x14ac:dyDescent="0.3">
      <c r="A12" s="2" t="s">
        <v>6</v>
      </c>
      <c r="B12" t="b">
        <f>D12=C12</f>
        <v>1</v>
      </c>
      <c r="C12">
        <v>3.3</v>
      </c>
      <c r="D12" s="7">
        <f>pyRoundTrip(C12)</f>
        <v>3.3</v>
      </c>
    </row>
    <row r="13" spans="1:11" x14ac:dyDescent="0.3">
      <c r="A13" s="2" t="s">
        <v>7</v>
      </c>
      <c r="B13" t="b">
        <f>D13=C13</f>
        <v>1</v>
      </c>
      <c r="C13" s="3">
        <v>42736</v>
      </c>
      <c r="D13" s="8">
        <f>pyRoundTrip(C13)</f>
        <v>42736</v>
      </c>
      <c r="E13" s="14"/>
    </row>
    <row r="14" spans="1:11" x14ac:dyDescent="0.3">
      <c r="A14" s="2"/>
      <c r="C14" s="3"/>
      <c r="D14" s="3"/>
      <c r="E14" s="14"/>
    </row>
    <row r="15" spans="1:11" x14ac:dyDescent="0.3">
      <c r="A15" s="2" t="s">
        <v>8</v>
      </c>
      <c r="B15" t="b">
        <f>C15=D15</f>
        <v>1</v>
      </c>
      <c r="C15">
        <f>SUM(F15:H15)</f>
        <v>6</v>
      </c>
      <c r="D15" s="7">
        <f>SUM(pyRoundTrip(F15:H15))</f>
        <v>6</v>
      </c>
      <c r="F15" s="19">
        <v>1</v>
      </c>
      <c r="G15" s="19">
        <v>2</v>
      </c>
      <c r="H15" s="19">
        <v>3</v>
      </c>
    </row>
    <row r="16" spans="1:11" x14ac:dyDescent="0.3">
      <c r="A16" s="2" t="s">
        <v>9</v>
      </c>
      <c r="B16" t="b">
        <f>ISNA(D16)</f>
        <v>1</v>
      </c>
      <c r="C16" t="e">
        <f>NA()</f>
        <v>#N/A</v>
      </c>
      <c r="D16" s="7" t="e">
        <f>(pyRoundTrip(F16:H16))</f>
        <v>#N/A</v>
      </c>
    </row>
    <row r="17" spans="1:9" x14ac:dyDescent="0.3">
      <c r="A17" s="2" t="s">
        <v>26</v>
      </c>
      <c r="B17" t="e">
        <f ca="1">C17=D17</f>
        <v>#VALUE!</v>
      </c>
      <c r="C17">
        <f>C15</f>
        <v>6</v>
      </c>
      <c r="D17" s="7" t="e">
        <f ca="1">SUM(pyRoundTrip(_xll.xloRef(F15:H15)))</f>
        <v>#VALUE!</v>
      </c>
    </row>
    <row r="19" spans="1:9" x14ac:dyDescent="0.3">
      <c r="A19" s="2" t="s">
        <v>10</v>
      </c>
      <c r="B19" t="b">
        <f>C19=D19</f>
        <v>1</v>
      </c>
      <c r="C19">
        <f t="array" ref="C19">SUM(G19:I19*F19)</f>
        <v>18.600000000000001</v>
      </c>
      <c r="D19" s="7">
        <f>SUM(pyTestArr1d(G19:I19,F19))</f>
        <v>18.600000000000001</v>
      </c>
      <c r="F19" s="19">
        <v>3.1</v>
      </c>
      <c r="G19" s="19">
        <v>1</v>
      </c>
      <c r="H19" s="19">
        <v>2</v>
      </c>
      <c r="I19" s="19">
        <v>3</v>
      </c>
    </row>
    <row r="20" spans="1:9" x14ac:dyDescent="0.3">
      <c r="A20" s="2" t="s">
        <v>11</v>
      </c>
      <c r="B20" t="b">
        <f>NOT(ISERROR(FIND("Error",D20)))</f>
        <v>1</v>
      </c>
      <c r="C20" t="s">
        <v>15</v>
      </c>
      <c r="D20" s="7" t="str">
        <f>pyTestArr1d(G20:I21,F20)</f>
        <v>Error in arg 1 'x': Failed reading [2 x 3]: Expecting a 1-dim array</v>
      </c>
      <c r="F20" s="19">
        <v>3.1</v>
      </c>
      <c r="G20" s="19">
        <v>1</v>
      </c>
      <c r="H20" s="19">
        <v>2</v>
      </c>
      <c r="I20" s="19">
        <v>3</v>
      </c>
    </row>
    <row r="21" spans="1:9" x14ac:dyDescent="0.3">
      <c r="F21" s="19"/>
      <c r="G21" s="19">
        <v>4</v>
      </c>
      <c r="H21" s="19">
        <v>5</v>
      </c>
      <c r="I21" s="19">
        <v>6</v>
      </c>
    </row>
    <row r="23" spans="1:9" x14ac:dyDescent="0.3">
      <c r="A23" s="2" t="s">
        <v>12</v>
      </c>
      <c r="B23" t="b">
        <f>C23=D23</f>
        <v>1</v>
      </c>
      <c r="C23">
        <f>SUM(F23:G24)</f>
        <v>10</v>
      </c>
      <c r="D23" s="7">
        <f>SUM(pyTestArr2d(F23:G24))</f>
        <v>10</v>
      </c>
      <c r="F23" s="19">
        <v>1</v>
      </c>
      <c r="G23" s="19">
        <v>2</v>
      </c>
    </row>
    <row r="24" spans="1:9" x14ac:dyDescent="0.3">
      <c r="A24" s="2" t="s">
        <v>27</v>
      </c>
      <c r="B24" t="e">
        <f ca="1">C24=D24</f>
        <v>#VALUE!</v>
      </c>
      <c r="C24">
        <f>C23</f>
        <v>10</v>
      </c>
      <c r="D24" s="7" t="e">
        <f ca="1">SUM(pyTestArr2d(_xll.xloRef(F23:G24)))</f>
        <v>#VALUE!</v>
      </c>
      <c r="F24" s="19">
        <v>3</v>
      </c>
      <c r="G24" s="19">
        <v>4</v>
      </c>
    </row>
    <row r="27" spans="1:9" x14ac:dyDescent="0.3">
      <c r="A27" s="2" t="s">
        <v>21</v>
      </c>
      <c r="B27" t="b">
        <f>H27=E27</f>
        <v>1</v>
      </c>
      <c r="D27" s="7" t="str">
        <f t="array" ref="D27:E28">pyTestKwargs(G27:H28)</f>
        <v>Foo</v>
      </c>
      <c r="E27" s="7" t="str">
        <v>dead</v>
      </c>
      <c r="G27" s="19" t="s">
        <v>17</v>
      </c>
      <c r="H27" s="19" t="s">
        <v>19</v>
      </c>
    </row>
    <row r="28" spans="1:9" x14ac:dyDescent="0.3">
      <c r="A28" s="2"/>
      <c r="B28" t="b">
        <f>E28=H28</f>
        <v>1</v>
      </c>
      <c r="D28" s="7" t="str">
        <v>Bar</v>
      </c>
      <c r="E28" s="7" t="str">
        <v>parrot</v>
      </c>
      <c r="G28" s="19" t="s">
        <v>18</v>
      </c>
      <c r="H28" s="19" t="s">
        <v>20</v>
      </c>
    </row>
    <row r="30" spans="1:9" x14ac:dyDescent="0.3">
      <c r="A30" s="2"/>
    </row>
    <row r="31" spans="1:9" x14ac:dyDescent="0.3">
      <c r="A31" s="2" t="s">
        <v>22</v>
      </c>
      <c r="B31" t="e">
        <f ca="1">C31=D31</f>
        <v>#VALUE!</v>
      </c>
      <c r="C31" t="str">
        <f>F31</f>
        <v>foo</v>
      </c>
      <c r="D31" s="9" t="e">
        <f ca="1">_xll.pyTestAsync(F31,1)</f>
        <v>#VALUE!</v>
      </c>
      <c r="E31" s="15"/>
      <c r="F31" s="19" t="s">
        <v>23</v>
      </c>
    </row>
    <row r="32" spans="1:9" x14ac:dyDescent="0.3">
      <c r="A32" s="2" t="s">
        <v>41</v>
      </c>
      <c r="B32" t="b">
        <f>C32=D32</f>
        <v>1</v>
      </c>
      <c r="C32" t="str">
        <f>C31</f>
        <v>foo</v>
      </c>
      <c r="D32" s="9" t="str">
        <f>pyTestAsyncRtd(F31,1)</f>
        <v>foo</v>
      </c>
    </row>
    <row r="34" spans="1:13" x14ac:dyDescent="0.3">
      <c r="A34" s="2" t="s">
        <v>25</v>
      </c>
      <c r="D34" s="5" t="str">
        <f>pyTestCache()</f>
        <v>欣[000002CAB0ACAEB0]84003:84003CustomObj,A</v>
      </c>
    </row>
    <row r="35" spans="1:13" x14ac:dyDescent="0.3">
      <c r="B35" t="b">
        <f>C35=D35</f>
        <v>1</v>
      </c>
      <c r="C35" t="s">
        <v>24</v>
      </c>
      <c r="D35" s="7" t="str">
        <f>pyTestCache(D34)</f>
        <v>Hello world</v>
      </c>
      <c r="M35" s="5"/>
    </row>
    <row r="36" spans="1:13" x14ac:dyDescent="0.3">
      <c r="A36" s="2" t="s">
        <v>60</v>
      </c>
      <c r="B36" t="e">
        <f ca="1">INDEX(_xll.xloVal(D36),1,1)=C36</f>
        <v>#VALUE!</v>
      </c>
      <c r="C36" t="str">
        <f>G27</f>
        <v>Foo</v>
      </c>
      <c r="D36" s="7" t="str">
        <f>pyTestToCache(G27:H28)</f>
        <v>永[000002CAB0ACAEB0]8c003:8c003,A</v>
      </c>
      <c r="M36" s="5"/>
    </row>
    <row r="37" spans="1:13" x14ac:dyDescent="0.3">
      <c r="M37" s="5"/>
    </row>
    <row r="38" spans="1:13" x14ac:dyDescent="0.3">
      <c r="A38" s="2" t="s">
        <v>28</v>
      </c>
      <c r="B38" t="b">
        <f>C38=D38</f>
        <v>1</v>
      </c>
      <c r="C38">
        <v>4</v>
      </c>
      <c r="D38" s="7">
        <f>SUM(pyTestIter(4,1))</f>
        <v>4</v>
      </c>
      <c r="M38" s="5"/>
    </row>
    <row r="39" spans="1:13" x14ac:dyDescent="0.3">
      <c r="M39" s="5"/>
    </row>
    <row r="40" spans="1:13" x14ac:dyDescent="0.3">
      <c r="A40" s="2" t="s">
        <v>39</v>
      </c>
      <c r="C40" t="str">
        <f>pyTestCom()</f>
        <v>{90160000-000F-0000-1000-0000000FF1CE}</v>
      </c>
      <c r="M40" s="5"/>
    </row>
    <row r="41" spans="1:13" x14ac:dyDescent="0.3">
      <c r="A41" s="2"/>
      <c r="M41" s="5"/>
    </row>
    <row r="42" spans="1:13" x14ac:dyDescent="0.3">
      <c r="A42" s="2" t="s">
        <v>40</v>
      </c>
      <c r="B42" t="b">
        <f ca="1">C42=D42</f>
        <v>0</v>
      </c>
      <c r="C42" s="4" t="str">
        <f ca="1">MID(CELL("filename"),FIND("[",CELL("filename")),100)&amp;"!"&amp;ADDRESS(ROW(G43),COLUMN(G43),4)</f>
        <v>[PythonTest.xlsm]Test1!G43</v>
      </c>
      <c r="D42" s="10" t="str">
        <f>pyTestRange(F42:G43)</f>
        <v xml:space="preserve">AttributeError: 'xloil_core.Range' object has no attribute 'cells'
At:
  C:\Users\Steven\dev\xloil\tests\python\PythonTest.py(448): pyTestRange
  C:\Users\Steven\dev\xloil\tests\python\PythonTest.py(178): pyPressRunTests
</v>
      </c>
      <c r="E42" s="16"/>
      <c r="F42" s="19">
        <v>1</v>
      </c>
      <c r="G42" s="19">
        <v>2</v>
      </c>
      <c r="M42" s="5"/>
    </row>
    <row r="43" spans="1:13" x14ac:dyDescent="0.3">
      <c r="A43" s="2"/>
      <c r="F43" s="19">
        <v>3</v>
      </c>
      <c r="G43" s="19">
        <v>4</v>
      </c>
      <c r="M43" s="5"/>
    </row>
    <row r="44" spans="1:13" x14ac:dyDescent="0.3">
      <c r="A44" s="2"/>
      <c r="M44" s="5"/>
    </row>
    <row r="45" spans="1:13" x14ac:dyDescent="0.3">
      <c r="A45" s="2" t="s">
        <v>31</v>
      </c>
      <c r="B45" t="b">
        <f>C45=D45</f>
        <v>1</v>
      </c>
      <c r="C45">
        <v>2</v>
      </c>
      <c r="D45" s="7">
        <f>pyTestCustomConv(1)</f>
        <v>2</v>
      </c>
    </row>
    <row r="46" spans="1:13" x14ac:dyDescent="0.3">
      <c r="A46" s="2"/>
      <c r="B46" t="b">
        <f>C46=D46</f>
        <v>1</v>
      </c>
      <c r="C46">
        <f>2*SUM(F46:G46)</f>
        <v>14</v>
      </c>
      <c r="D46" s="7">
        <f>SUM(pyTestCustomConv(F46:G46))</f>
        <v>14</v>
      </c>
      <c r="F46" s="19">
        <v>3</v>
      </c>
      <c r="G46" s="19">
        <v>4</v>
      </c>
    </row>
    <row r="47" spans="1:13" x14ac:dyDescent="0.3">
      <c r="A47" s="2"/>
    </row>
    <row r="48" spans="1:13" x14ac:dyDescent="0.3">
      <c r="A48" s="2" t="s">
        <v>33</v>
      </c>
      <c r="B48" t="b">
        <f>C48=D48</f>
        <v>1</v>
      </c>
      <c r="C48">
        <f>G49</f>
        <v>2</v>
      </c>
      <c r="D48" s="7">
        <f>pyTestFrameFetch(I48,,"B")</f>
        <v>2</v>
      </c>
      <c r="F48" s="20" t="s">
        <v>32</v>
      </c>
      <c r="G48" s="20" t="s">
        <v>29</v>
      </c>
      <c r="H48" s="20" t="s">
        <v>30</v>
      </c>
      <c r="I48" s="21" t="str">
        <f>pyTestDFrame(F48:H49)</f>
        <v>欣[000002CAB0ACAEB0]bc008:bc008DataFrame,A</v>
      </c>
    </row>
    <row r="49" spans="1:9" x14ac:dyDescent="0.3">
      <c r="A49" s="2"/>
      <c r="F49" s="20">
        <v>1</v>
      </c>
      <c r="G49" s="20">
        <v>2</v>
      </c>
      <c r="H49" s="20">
        <v>3</v>
      </c>
    </row>
    <row r="50" spans="1:9" x14ac:dyDescent="0.3">
      <c r="A50" s="2"/>
    </row>
    <row r="51" spans="1:9" x14ac:dyDescent="0.3">
      <c r="A51" s="2" t="s">
        <v>34</v>
      </c>
      <c r="B51" t="b">
        <f>C51=D51</f>
        <v>1</v>
      </c>
      <c r="C51" t="str">
        <f>H52</f>
        <v>Foo</v>
      </c>
      <c r="D51" s="7" t="str">
        <f>pyTestFrameFetch(I51,0,"B")</f>
        <v>Foo</v>
      </c>
      <c r="F51" s="19" t="s">
        <v>35</v>
      </c>
      <c r="G51" s="19" t="s">
        <v>32</v>
      </c>
      <c r="H51" s="19" t="s">
        <v>29</v>
      </c>
      <c r="I51" s="21" t="str">
        <f>pyTestDFrameIndex(F51:H53)</f>
        <v>欣[000002CAB0ACAEB0]c8008:c8008,A</v>
      </c>
    </row>
    <row r="52" spans="1:9" x14ac:dyDescent="0.3">
      <c r="A52" s="2"/>
      <c r="B52" t="b">
        <f t="shared" ref="B52:B53" si="0">C52=D52</f>
        <v>1</v>
      </c>
      <c r="C52">
        <f>G53</f>
        <v>2.1</v>
      </c>
      <c r="D52" s="7">
        <f t="array" ref="D52:D53">pyTestFrameFetch(I51,1)</f>
        <v>2.1</v>
      </c>
      <c r="F52" s="19">
        <v>0</v>
      </c>
      <c r="G52" s="19">
        <v>5.3</v>
      </c>
      <c r="H52" s="19" t="s">
        <v>17</v>
      </c>
    </row>
    <row r="53" spans="1:9" x14ac:dyDescent="0.3">
      <c r="A53" s="2"/>
      <c r="B53" t="b">
        <f t="shared" si="0"/>
        <v>1</v>
      </c>
      <c r="C53" t="str">
        <f>H53</f>
        <v>Bar</v>
      </c>
      <c r="D53" s="7" t="str">
        <v>Bar</v>
      </c>
      <c r="F53" s="19">
        <v>1</v>
      </c>
      <c r="G53" s="19">
        <v>2.1</v>
      </c>
      <c r="H53" s="19" t="s">
        <v>18</v>
      </c>
    </row>
    <row r="54" spans="1:9" x14ac:dyDescent="0.3">
      <c r="A54" s="2"/>
    </row>
    <row r="55" spans="1:9" x14ac:dyDescent="0.3">
      <c r="A55" s="2" t="s">
        <v>55</v>
      </c>
      <c r="B55" t="b">
        <f t="array" ref="B55">SUM((D55:F57=F51:H53)+0)=9</f>
        <v>1</v>
      </c>
      <c r="D55" s="7" t="str">
        <f t="array" ref="D55:F57">pyTestFrameFetch(I51)</f>
        <v>Time</v>
      </c>
      <c r="E55" s="7" t="str">
        <v>A</v>
      </c>
      <c r="F55" s="28" t="str">
        <v>B</v>
      </c>
    </row>
    <row r="56" spans="1:9" x14ac:dyDescent="0.3">
      <c r="D56" s="7">
        <v>0</v>
      </c>
      <c r="E56" s="7">
        <v>5.3</v>
      </c>
      <c r="F56" s="28" t="str">
        <v>Foo</v>
      </c>
    </row>
    <row r="57" spans="1:9" x14ac:dyDescent="0.3">
      <c r="D57" s="7">
        <v>1</v>
      </c>
      <c r="E57" s="7">
        <v>2.1</v>
      </c>
      <c r="F57" s="28" t="str">
        <v>Bar</v>
      </c>
    </row>
    <row r="58" spans="1:9" x14ac:dyDescent="0.3">
      <c r="E58"/>
      <c r="F58"/>
    </row>
    <row r="59" spans="1:9" x14ac:dyDescent="0.3">
      <c r="B59" t="b">
        <f t="array" ref="B59">SUM((D59:F60=F51:H52)+0)=6</f>
        <v>1</v>
      </c>
      <c r="D59" s="7" t="str">
        <f t="array" ref="D59:F60">pyTestFrameWrite(I51)</f>
        <v>Time</v>
      </c>
      <c r="E59" s="7" t="str">
        <v>A</v>
      </c>
      <c r="F59" s="28" t="str">
        <v>B</v>
      </c>
    </row>
    <row r="60" spans="1:9" x14ac:dyDescent="0.3">
      <c r="D60" s="7">
        <v>0</v>
      </c>
      <c r="E60" s="7">
        <v>5.3</v>
      </c>
      <c r="F60" s="7" t="str">
        <v>Foo</v>
      </c>
    </row>
    <row r="62" spans="1:9" x14ac:dyDescent="0.3">
      <c r="A62" s="2" t="s">
        <v>36</v>
      </c>
      <c r="B62" t="b">
        <f>C62=D62</f>
        <v>1</v>
      </c>
      <c r="C62" s="3">
        <f>F62+1</f>
        <v>42737</v>
      </c>
      <c r="D62" s="8">
        <f>pyTestDate(F62)</f>
        <v>42737</v>
      </c>
      <c r="E62" s="14"/>
      <c r="F62" s="22">
        <v>42736</v>
      </c>
    </row>
    <row r="63" spans="1:9" x14ac:dyDescent="0.3">
      <c r="B63" t="b">
        <f>D63=C63</f>
        <v>1</v>
      </c>
      <c r="C63" s="3">
        <v>42768</v>
      </c>
      <c r="D63" s="8">
        <f>pyTestDate(F63)</f>
        <v>42768</v>
      </c>
      <c r="E63" s="14"/>
      <c r="F63" s="23" t="s">
        <v>37</v>
      </c>
    </row>
    <row r="66" spans="1:7" x14ac:dyDescent="0.3">
      <c r="A66" s="2" t="s">
        <v>44</v>
      </c>
      <c r="C66" s="24" t="e">
        <f ca="1">_xll.pyGetUrl(D66)</f>
        <v>#VALUE!</v>
      </c>
      <c r="D66" t="s">
        <v>42</v>
      </c>
    </row>
    <row r="67" spans="1:7" x14ac:dyDescent="0.3">
      <c r="A67" s="5"/>
      <c r="C67" s="24" t="e">
        <f ca="1">_xll.pyGetUrl(D67)</f>
        <v>#VALUE!</v>
      </c>
      <c r="D67" t="s">
        <v>43</v>
      </c>
    </row>
    <row r="68" spans="1:7" x14ac:dyDescent="0.3">
      <c r="A68" s="2" t="s">
        <v>46</v>
      </c>
      <c r="C68" s="24" t="e">
        <f ca="1">_xll.pyGetUrlLive(D68)</f>
        <v>#NAME?</v>
      </c>
      <c r="D68" s="27" t="s">
        <v>45</v>
      </c>
    </row>
    <row r="71" spans="1:7" x14ac:dyDescent="0.3">
      <c r="A71" s="2" t="s">
        <v>47</v>
      </c>
      <c r="B71" t="e">
        <f ca="1">E77&lt;&gt;F77</f>
        <v>#VALUE!</v>
      </c>
      <c r="C71" s="12"/>
      <c r="D71" t="s">
        <v>48</v>
      </c>
      <c r="E71" s="5">
        <v>3</v>
      </c>
      <c r="F71" s="5">
        <v>1</v>
      </c>
      <c r="G71" s="5">
        <v>4</v>
      </c>
    </row>
    <row r="72" spans="1:7" x14ac:dyDescent="0.3">
      <c r="A72" t="s">
        <v>54</v>
      </c>
      <c r="C72" s="12"/>
      <c r="D72" t="s">
        <v>49</v>
      </c>
      <c r="E72" s="5">
        <v>3</v>
      </c>
      <c r="F72" s="5">
        <v>2</v>
      </c>
      <c r="G72" s="5">
        <v>7</v>
      </c>
    </row>
    <row r="73" spans="1:7" x14ac:dyDescent="0.3">
      <c r="C73" s="12"/>
      <c r="D73" t="s">
        <v>50</v>
      </c>
      <c r="E73" s="5">
        <v>500</v>
      </c>
      <c r="F73" s="5">
        <f>E73</f>
        <v>500</v>
      </c>
      <c r="G73" s="5">
        <f>E73</f>
        <v>500</v>
      </c>
    </row>
    <row r="74" spans="1:7" x14ac:dyDescent="0.3">
      <c r="C74" s="12"/>
      <c r="D74" t="s">
        <v>51</v>
      </c>
      <c r="E74" s="5">
        <f>E73</f>
        <v>500</v>
      </c>
      <c r="F74" s="5">
        <f t="shared" ref="F74:F76" si="1">E74</f>
        <v>500</v>
      </c>
      <c r="G74" s="5">
        <f t="shared" ref="G74:G76" si="2">E74</f>
        <v>500</v>
      </c>
    </row>
    <row r="75" spans="1:7" x14ac:dyDescent="0.3">
      <c r="C75" s="12"/>
      <c r="D75" t="s">
        <v>52</v>
      </c>
      <c r="E75" s="5">
        <f>E74</f>
        <v>500</v>
      </c>
      <c r="F75" s="5">
        <f t="shared" si="1"/>
        <v>500</v>
      </c>
      <c r="G75" s="5">
        <f t="shared" si="2"/>
        <v>500</v>
      </c>
    </row>
    <row r="76" spans="1:7" x14ac:dyDescent="0.3">
      <c r="C76" s="12"/>
      <c r="D76" t="s">
        <v>53</v>
      </c>
      <c r="E76" s="5">
        <f>E75</f>
        <v>500</v>
      </c>
      <c r="F76" s="5">
        <f t="shared" si="1"/>
        <v>500</v>
      </c>
      <c r="G76" s="5">
        <f t="shared" si="2"/>
        <v>500</v>
      </c>
    </row>
    <row r="77" spans="1:7" x14ac:dyDescent="0.3">
      <c r="E77" s="7" t="e">
        <f ca="1">_xll.pyThreadTest(E71,E72,E73,E74,E75,E76)</f>
        <v>#VALUE!</v>
      </c>
      <c r="F77" s="7" t="e">
        <f ca="1">_xll.pyThreadTest(F71,F72,F73,F74,F75,F76)</f>
        <v>#VALUE!</v>
      </c>
      <c r="G77" s="7" t="e">
        <f ca="1">_xll.pyThreadTest(G71,G72,G73,G74,G75,G76)</f>
        <v>#VALUE!</v>
      </c>
    </row>
    <row r="79" spans="1:7" x14ac:dyDescent="0.3">
      <c r="A79" s="2" t="s">
        <v>56</v>
      </c>
      <c r="B79" t="e">
        <f ca="1">C79=D81</f>
        <v>#VALUE!</v>
      </c>
      <c r="C79" t="s">
        <v>57</v>
      </c>
      <c r="D79" t="str">
        <f>pyWbPath()</f>
        <v>C:\Users\Steven\dev\xloil\tests\python\</v>
      </c>
    </row>
    <row r="80" spans="1:7" x14ac:dyDescent="0.3">
      <c r="A80" t="s">
        <v>58</v>
      </c>
      <c r="D80" t="e">
        <f ca="1">_xll.xloPyLoad(D79&amp;"TestModule.py")</f>
        <v>#VALUE!</v>
      </c>
    </row>
    <row r="81" spans="1:8" x14ac:dyDescent="0.3">
      <c r="D81" s="7" t="e">
        <f ca="1">_xll.pyTestLoadMod()</f>
        <v>#VALUE!</v>
      </c>
    </row>
    <row r="84" spans="1:8" x14ac:dyDescent="0.3">
      <c r="A84" s="2" t="s">
        <v>59</v>
      </c>
      <c r="B84" t="b">
        <f>AND(D84=F84+1, D85=G84+1, D86=H84+1,D87=F85+1,D88=G85+1)</f>
        <v>1</v>
      </c>
      <c r="D84" s="28">
        <f t="array" ref="D84:D88">pyTestDateConv(F84:H85)</f>
        <v>43001</v>
      </c>
      <c r="F84" s="31">
        <v>43000</v>
      </c>
      <c r="G84" s="31">
        <v>44000</v>
      </c>
      <c r="H84" s="31">
        <v>45000.66</v>
      </c>
    </row>
    <row r="85" spans="1:8" x14ac:dyDescent="0.3">
      <c r="D85" s="7">
        <v>44001</v>
      </c>
      <c r="F85" s="31">
        <f>G84</f>
        <v>44000</v>
      </c>
      <c r="G85" s="31">
        <v>37000</v>
      </c>
      <c r="H85" s="31">
        <f>H84</f>
        <v>45000.66</v>
      </c>
    </row>
    <row r="86" spans="1:8" x14ac:dyDescent="0.3">
      <c r="D86" s="7">
        <v>45001.66</v>
      </c>
    </row>
    <row r="87" spans="1:8" x14ac:dyDescent="0.3">
      <c r="D87" s="7">
        <v>44001</v>
      </c>
    </row>
    <row r="88" spans="1:8" x14ac:dyDescent="0.3">
      <c r="C88" s="29"/>
      <c r="D88" s="32">
        <v>37001</v>
      </c>
      <c r="E88" s="30"/>
    </row>
    <row r="89" spans="1:8" x14ac:dyDescent="0.3">
      <c r="C89" s="29"/>
      <c r="D89" s="29"/>
      <c r="E89" s="30"/>
    </row>
    <row r="90" spans="1:8" x14ac:dyDescent="0.3">
      <c r="A90" t="s">
        <v>61</v>
      </c>
      <c r="C90" s="29"/>
      <c r="D90" s="29"/>
      <c r="E90" s="30"/>
    </row>
    <row r="91" spans="1:8" x14ac:dyDescent="0.3">
      <c r="B91" t="b">
        <f>C91:C92=D91:D92</f>
        <v>1</v>
      </c>
      <c r="C91" s="29">
        <v>0</v>
      </c>
      <c r="D91" s="32">
        <f>pyTestDynamic0()</f>
        <v>0</v>
      </c>
      <c r="E91" s="30"/>
    </row>
    <row r="92" spans="1:8" x14ac:dyDescent="0.3">
      <c r="C92" s="29">
        <v>2</v>
      </c>
      <c r="D92" s="32">
        <f>pyTestDynamic2()</f>
        <v>2</v>
      </c>
      <c r="E92" s="30"/>
    </row>
    <row r="93" spans="1:8" x14ac:dyDescent="0.3">
      <c r="C93" s="29"/>
      <c r="D93" s="29"/>
      <c r="E93" s="30"/>
    </row>
    <row r="95" spans="1:8" x14ac:dyDescent="0.3">
      <c r="A95" t="s">
        <v>62</v>
      </c>
      <c r="B95" t="b">
        <f>C95=D95</f>
        <v>1</v>
      </c>
      <c r="C95" s="4" t="str">
        <f>"[PythonTest.xlsm]Test1!R"&amp;ROW(D95)&amp;"C"&amp;COLUMN(D95)</f>
        <v>[PythonTest.xlsm]Test1!R95C4</v>
      </c>
      <c r="D95" s="7" t="str">
        <f>pyTestCaller()</f>
        <v>[PythonTest.xlsm]Test1!R95C4</v>
      </c>
    </row>
    <row r="96" spans="1:8" x14ac:dyDescent="0.3">
      <c r="B96" t="b">
        <f>C96=D96</f>
        <v>1</v>
      </c>
      <c r="C96" s="4" t="str">
        <f>"[PythonTest.xlsm]Test1!R"&amp;ROW(D96)&amp;"C"&amp;COLUMN(D96)</f>
        <v>[PythonTest.xlsm]Test1!R96C4</v>
      </c>
      <c r="D96" s="7" t="str">
        <f>pyTestCaller()</f>
        <v>[PythonTest.xlsm]Test1!R96C4</v>
      </c>
    </row>
    <row r="99" spans="1:4" x14ac:dyDescent="0.3">
      <c r="A99" s="2" t="s">
        <v>63</v>
      </c>
      <c r="B99" t="b">
        <f>C99=D99</f>
        <v>1</v>
      </c>
      <c r="C99" t="str">
        <f>pyTestWorkbooks()</f>
        <v>PythonTest.xlsm</v>
      </c>
      <c r="D99" s="7" t="str">
        <f>pyTestWorkbooks()</f>
        <v>PythonTest.xlsm</v>
      </c>
    </row>
    <row r="101" spans="1:4" x14ac:dyDescent="0.3">
      <c r="A101" s="2" t="s">
        <v>66</v>
      </c>
      <c r="B101" t="b">
        <f>C101=D101</f>
        <v>1</v>
      </c>
      <c r="C101">
        <v>6</v>
      </c>
      <c r="D101" s="28">
        <f>pyTestExcelCallAsync(1,2,3)</f>
        <v>6</v>
      </c>
    </row>
    <row r="102" spans="1:4" x14ac:dyDescent="0.3">
      <c r="B102" t="b">
        <f>C102=D102</f>
        <v>1</v>
      </c>
      <c r="C102">
        <v>6</v>
      </c>
      <c r="D102" s="28">
        <f>pyTestExcelCall("sum",1,2,3)</f>
        <v>6</v>
      </c>
    </row>
    <row r="104" spans="1:4" x14ac:dyDescent="0.3">
      <c r="A104" s="2" t="s">
        <v>67</v>
      </c>
      <c r="B104" t="b">
        <f ca="1">C104=D104</f>
        <v>1</v>
      </c>
      <c r="C104" t="str">
        <f ca="1">"="&amp;SUBSTITUTE(CELL("address",C101)&amp;"="&amp;CELL("address",D101),"$","")</f>
        <v>=C101=D101</v>
      </c>
      <c r="D104" s="28" t="str">
        <f>pyTestExcelCall("getcell",6,B101)</f>
        <v>=C101=D101</v>
      </c>
    </row>
    <row r="105" spans="1:4" x14ac:dyDescent="0.3">
      <c r="B105" t="e">
        <f t="shared" ref="B105:B109" ca="1" si="3">C105=D105</f>
        <v>#VALUE!</v>
      </c>
      <c r="C105" t="str">
        <f ca="1">C104</f>
        <v>=C101=D101</v>
      </c>
      <c r="D105" s="28" t="e">
        <f ca="1">_xll.pyTestRangeFormula2(B101)</f>
        <v>#VALUE!</v>
      </c>
    </row>
    <row r="106" spans="1:4" x14ac:dyDescent="0.3">
      <c r="B106" t="b">
        <f t="shared" ca="1" si="3"/>
        <v>1</v>
      </c>
      <c r="C106" t="str">
        <f ca="1">C105</f>
        <v>=C101=D101</v>
      </c>
      <c r="D106" s="28" t="str">
        <f>pyTestRangeFormula(B101)</f>
        <v>=C101=D101</v>
      </c>
    </row>
    <row r="108" spans="1:4" x14ac:dyDescent="0.3">
      <c r="A108" s="2" t="s">
        <v>68</v>
      </c>
      <c r="B108" t="b">
        <f t="shared" si="3"/>
        <v>1</v>
      </c>
      <c r="C108" t="str">
        <f>C99</f>
        <v>PythonTest.xlsm</v>
      </c>
      <c r="D108" s="28" t="str">
        <f>pyTestAppRun("pyTestWorkbooks")</f>
        <v>PythonTest.xlsm</v>
      </c>
    </row>
    <row r="109" spans="1:4" x14ac:dyDescent="0.3">
      <c r="B109" t="b">
        <f t="shared" si="3"/>
        <v>1</v>
      </c>
      <c r="C109">
        <v>6</v>
      </c>
      <c r="D109" s="28">
        <f>pyTestAppRun("pySum",1,2,3)</f>
        <v>6</v>
      </c>
    </row>
    <row r="110" spans="1:4" x14ac:dyDescent="0.3">
      <c r="B110" t="b">
        <f ca="1">C110=D110</f>
        <v>0</v>
      </c>
      <c r="C110" t="str">
        <f ca="1">MID(CELL("filename"),FIND("[",CELL("filename")),100)&amp;"!"&amp;ADDRESS(ROW(E109),COLUMN(E109),4)</f>
        <v>[PythonTest.xlsm]Test1!E109</v>
      </c>
      <c r="D110" s="28" t="str">
        <f>pyTestAppRun("pyTestRange", D108)</f>
        <v xml:space="preserve">AttributeError: 'xloil_core.Range' object has no attribute 'cells'
At:
  C:\Users\Steven\dev\xloil\tests\python\PythonTest.py(448): pyTestRange
  C:\Users\Steven\dev\xloil\tests\python\PythonTest.py(290): pyTestAppRun
  C:\Users\Steven\dev\xloil\tests\python\PythonTest.py(178): pyPressRunTests
</v>
      </c>
    </row>
  </sheetData>
  <conditionalFormatting sqref="B6:B52">
    <cfRule type="expression" dxfId="5" priority="9">
      <formula>IFERROR(NOT(OR(ISBLANK(B6),B6)),TRUE)</formula>
    </cfRule>
  </conditionalFormatting>
  <conditionalFormatting sqref="B3">
    <cfRule type="expression" dxfId="4" priority="5">
      <formula>IFERROR(NOT(OR(ISBLANK(B3),B3)),TRUE)</formula>
    </cfRule>
  </conditionalFormatting>
  <conditionalFormatting sqref="D3">
    <cfRule type="expression" dxfId="3" priority="4">
      <formula>IFERROR(NOT(OR(ISBLANK(D3),D3)),TRUE)</formula>
    </cfRule>
  </conditionalFormatting>
  <conditionalFormatting sqref="B53:B102">
    <cfRule type="expression" dxfId="2" priority="3">
      <formula>IFERROR(NOT(OR(ISBLANK(B53),B53)),TRUE)</formula>
    </cfRule>
  </conditionalFormatting>
  <conditionalFormatting sqref="B104:B106">
    <cfRule type="expression" dxfId="1" priority="2">
      <formula>IFERROR(NOT(OR(ISBLANK(B104),B104)),TRUE)</formula>
    </cfRule>
  </conditionalFormatting>
  <conditionalFormatting sqref="B108:B110">
    <cfRule type="expression" dxfId="0" priority="1">
      <formula>IFERROR(NOT(OR(ISBLANK(B108),B108)),TRUE)</formula>
    </cfRule>
  </conditionalFormatting>
  <hyperlinks>
    <hyperlink ref="D68" r:id="rId1" xr:uid="{A15C8238-108A-441A-953F-6F26ED6EC331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220980</xdr:colOff>
                    <xdr:row>0</xdr:row>
                    <xdr:rowOff>137160</xdr:rowOff>
                  </from>
                  <to>
                    <xdr:col>5</xdr:col>
                    <xdr:colOff>822960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Test1</vt:lpstr>
      <vt:lpstr>Test1!TestArea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2022-01-04T17:10:29Z</dcterms:modified>
</cp:coreProperties>
</file>