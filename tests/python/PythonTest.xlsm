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DCF84AFA-1E3E-40B5-81FF-4E794652E87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96" i="1"/>
  <c r="C95" i="1"/>
  <c r="C68" i="1"/>
  <c r="D99" i="1"/>
  <c r="E96" i="1"/>
  <c r="D91" i="1"/>
  <c r="D32" i="1"/>
  <c r="C99" i="1"/>
  <c r="D92" i="1"/>
  <c r="D11" i="1"/>
  <c r="D1" i="1"/>
  <c r="E95" i="1"/>
  <c r="B99" i="1" l="1"/>
  <c r="B95" i="1"/>
  <c r="B91" i="1"/>
  <c r="C36" i="1"/>
  <c r="C42" i="1"/>
  <c r="D36" i="1"/>
  <c r="B36" i="1" l="1"/>
  <c r="H85" i="1"/>
  <c r="F85" i="1"/>
  <c r="D84" i="1" a="1"/>
  <c r="D79" i="1"/>
  <c r="D81" i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C67" i="1"/>
  <c r="C66" i="1"/>
  <c r="D42" i="1"/>
  <c r="D31" i="1"/>
  <c r="F76" i="1" l="1"/>
  <c r="G76" i="1"/>
  <c r="G77" i="1" s="1"/>
  <c r="C62" i="1"/>
  <c r="F77" i="1"/>
  <c r="E77" i="1"/>
  <c r="D63" i="1"/>
  <c r="D10" i="1"/>
  <c r="B71" i="1" l="1"/>
  <c r="B63" i="1"/>
  <c r="D6" i="1"/>
  <c r="D62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C10" i="1"/>
  <c r="C40" i="1"/>
  <c r="D46" i="1"/>
  <c r="D38" i="1"/>
  <c r="D7" i="1"/>
  <c r="D15" i="1"/>
  <c r="I51" i="1"/>
  <c r="D34" i="1"/>
  <c r="D19" i="1"/>
  <c r="D45" i="1"/>
  <c r="D12" i="1"/>
  <c r="I48" i="1"/>
  <c r="D13" i="1"/>
  <c r="D16" i="1"/>
  <c r="D20" i="1"/>
  <c r="D23" i="1"/>
  <c r="D9" i="1"/>
  <c r="D24" i="1"/>
  <c r="D17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48" i="1"/>
  <c r="D51" i="1"/>
  <c r="D55" i="1" a="1"/>
  <c r="D35" i="1"/>
  <c r="D52" i="1" a="1"/>
  <c r="D59" i="1" a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<sst xmlns="http://schemas.openxmlformats.org/spreadsheetml/2006/main" count="76" uniqueCount="71">
  <si>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</si>
  <si>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</si>
  <si>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</si>
  <si>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</si>
  <si>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</si>
  <si>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</si>
  <si>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</si>
  <si>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</si>
  <si>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</si>
  <si>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</si>
  <si>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</si>
  <si>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</si>
  <si>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</si>
  <si>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</si>
  <si>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</si>
  <si>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</si>
  <si>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</si>
  <si>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</si>
  <si>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</si>
  <si>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</si>
  <si>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</si>
  <si>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</si>
  <si>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</si>
  <si>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</si>
  <si>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</si>
  <si>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</si>
  <si>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</si>
  <si>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</si>
  <si>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</si>
  <si>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</si>
  <si>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</si>
  <si>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</si>
  <si>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</si>
  <si>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</si>
  <si>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</si>
  <si>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</si>
  <si>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</si>
  <si>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</si>
  <si>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</si>
  <si>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</si>
  <si>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</si>
  <si>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</si>
  <si>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</si>
  <si>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</si>
  <si>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</si>
  <si>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</si>
  <si>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</si>
  <si>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</si>
  <si>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</si>
  <si>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</si>
  <si>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</si>
  <si>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</si>
  <si>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</si>
  <si>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</si>
  <si>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</si>
  <si>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</si>
  <si>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</si>
  <si>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</si>
  <si>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</si>
  <si>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</si>
  <si>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</si>
  <si>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</si>
  <si>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</si>
  <si>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 xml:space="preserve">   </t>
  </si>
  <si>
    <t>pyTestCall</t>
  </si>
  <si>
    <t>=pyTestCall(1,2,3)</t>
  </si>
  <si>
    <t>pyTestWorkbooks</t>
  </si>
  <si>
    <t>Spam</t>
  </si>
  <si>
    <t>FUNCTION TESTS</t>
  </si>
  <si>
    <t>MACRO TESTS</t>
  </si>
  <si>
    <t>Calc on Test1 finished at: 2021-12-30 12:35:17.961561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</si>
</sst>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5" borderId="0" xfId="0" applyFill="1" applyBorder="1"/>
    <xf numFmtId="0" fontId="0" fillId="5" borderId="0" xfId="0" applyFill="1"/>
    <xf numFmtId="0" fontId="0" fillId="0" borderId="1" xfId="0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2e502ca1.76d6.41a5.8eb6.adbda44e10e8">
      <tp>
        <v>0</v>
        <stp/>
        <stp>{35B182C2-29E1-4571-8A31-5FCE196F4091}</stp>
        <tr r="E95" s="1"/>
      </tp>
    </main>
    <main first="xloil.2e502ca1.76d6.41a5.8eb6.adbda44e10e8">
      <tp>
        <v>0</v>
        <stp/>
        <stp>{515218B2-7EF6-40E7-8D5A-8BB3396B2D75}</stp>
        <tr r="E96" s="1"/>
      </tp>
      <tp>
        <v>0</v>
        <stp/>
        <stp>{C35E5C8E-4D08-454F-A010-BC655CDDB42F}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0</xdr:row>
          <xdr:rowOff>137160</xdr:rowOff>
        </xdr:from>
        <xdr:to>
          <xdr:col>5</xdr:col>
          <xdr:colOff>922020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01"/>
  <sheetViews>
    <sheetView showGridLines="0" tabSelected="1" workbookViewId="0">
      <selection activeCell="I8" sqref="I8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70</v>
      </c>
      <c r="B1" s="6"/>
      <c r="C1" s="6"/>
      <c r="D1" s="26">
        <f>pyTestAsyncGen(2)</f>
        <v>44560.524498384038</v>
      </c>
      <c r="G1" t="s">
        <v>67</v>
      </c>
      <c r="H1"/>
      <c r="I1"/>
      <c r="K1" s="36"/>
    </row>
    <row r="2" spans="1:11" x14ac:dyDescent="0.3">
      <c r="A2" s="26"/>
      <c r="B2" s="26"/>
      <c r="C2" s="26"/>
      <c r="D2" s="26"/>
      <c r="G2"/>
      <c r="H2"/>
      <c r="I2"/>
      <c r="K2" s="36"/>
    </row>
    <row r="3" spans="1:11" x14ac:dyDescent="0.3">
      <c r="A3" s="34" t="s">
        <v>68</v>
      </c>
      <c r="B3" s="37" t="e">
        <f ca="1">AND(B6:B99)</f>
        <v>#VALUE!</v>
      </c>
      <c r="C3" s="34" t="s">
        <v>69</v>
      </c>
      <c r="D3" s="37" t="b">
        <f>G1="Spam"</f>
        <v>1</v>
      </c>
      <c r="G3"/>
      <c r="H3"/>
      <c r="I3"/>
      <c r="K3" s="36"/>
    </row>
    <row r="4" spans="1:11" x14ac:dyDescent="0.3">
      <c r="A4" s="17"/>
      <c r="B4" s="12"/>
      <c r="C4" s="12"/>
      <c r="G4" s="35"/>
      <c r="H4" s="35"/>
      <c r="I4" s="35"/>
      <c r="J4" s="36"/>
      <c r="K4" s="36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 t="s">
        <v>64</v>
      </c>
      <c r="D30" s="9" t="s">
        <v>65</v>
      </c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欣[0000022E5BD91C60]84003:84003CustomObj,A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e">
        <f ca="1">INDEX(_xll.xloVal(D36),1,1)=C36</f>
        <v>#VALUE!</v>
      </c>
      <c r="C36" t="str">
        <f>G27</f>
        <v>Foo</v>
      </c>
      <c r="D36" s="7" t="str">
        <f>pyTestToCache(G27:H28)</f>
        <v>永[0000022E5BD91C60]8c003:8c003,A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欣[0000022E5BD91C60]bc008:bc008DataFrame,A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欣[0000022E5BD91C60]c8008:c8008,A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e">
        <f ca="1">_xll.pyGetUrl(D66)</f>
        <v>#VALUE!</v>
      </c>
      <c r="D66" t="s">
        <v>42</v>
      </c>
    </row>
    <row r="67" spans="1:7" x14ac:dyDescent="0.3">
      <c r="A67" s="5"/>
      <c r="C67" s="24" t="e">
        <f ca="1">_xll.pyGetUrl(D67)</f>
        <v>#VALUE!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e">
        <f ca="1">E77&lt;&gt;F77</f>
        <v>#VALUE!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 t="e">
        <f ca="1">_xll.pyThreadTest(E71,E72,E73,E74,E75,E76)</f>
        <v>#VALUE!</v>
      </c>
      <c r="F77" s="7" t="e">
        <f ca="1">_xll.pyThreadTest(F71,F72,F73,F74,F75,F76)</f>
        <v>#VALUE!</v>
      </c>
      <c r="G77" s="7" t="e">
        <f ca="1">_xll.pyThreadTest(G71,G72,G73,G74,G75,G76)</f>
        <v>#VALUE!</v>
      </c>
    </row>
    <row r="79" spans="1:7" x14ac:dyDescent="0.3">
      <c r="A79" s="2" t="s">
        <v>56</v>
      </c>
      <c r="B79" t="e">
        <f ca="1">C79=D81</f>
        <v>#VALUE!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e">
        <f ca="1">_xll.xloPyLoad(D79&amp;"TestModule.py")</f>
        <v>#VALUE!</v>
      </c>
    </row>
    <row r="81" spans="1:8" x14ac:dyDescent="0.3">
      <c r="D81" s="7" t="e">
        <f ca="1">_xll.pyTestLoadMod()</f>
        <v>#VALUE!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B88" s="29"/>
      <c r="C88" s="29"/>
      <c r="D88" s="32">
        <v>37001</v>
      </c>
      <c r="E88" s="30"/>
    </row>
    <row r="89" spans="1:8" x14ac:dyDescent="0.3">
      <c r="B89" s="29"/>
      <c r="C89" s="29"/>
      <c r="D89" s="29"/>
      <c r="E89" s="30"/>
    </row>
    <row r="90" spans="1:8" x14ac:dyDescent="0.3">
      <c r="A90" t="s">
        <v>61</v>
      </c>
      <c r="B90" s="29"/>
      <c r="C90" s="29"/>
      <c r="D90" s="29"/>
      <c r="E90" s="30"/>
    </row>
    <row r="91" spans="1:8" x14ac:dyDescent="0.3">
      <c r="B91" s="29" t="b">
        <f>C91:C92=D91:D92</f>
        <v>1</v>
      </c>
      <c r="C91" s="29">
        <v>0</v>
      </c>
      <c r="D91" s="29">
        <f>pyTestDynamic0()</f>
        <v>0</v>
      </c>
      <c r="E91" s="30"/>
    </row>
    <row r="92" spans="1:8" x14ac:dyDescent="0.3">
      <c r="B92" s="29"/>
      <c r="C92" s="29">
        <v>2</v>
      </c>
      <c r="D92" s="29">
        <f>pyTestDynamic2()</f>
        <v>2</v>
      </c>
      <c r="E92" s="30"/>
    </row>
    <row r="93" spans="1:8" x14ac:dyDescent="0.3">
      <c r="B93" s="29"/>
      <c r="C93" s="29"/>
      <c r="D93" s="29"/>
      <c r="E93" s="30"/>
    </row>
    <row r="95" spans="1:8" x14ac:dyDescent="0.3">
      <c r="A95" t="s">
        <v>62</v>
      </c>
      <c r="B95" t="b">
        <f>AND(C95=E95,C96=E96)</f>
        <v>1</v>
      </c>
      <c r="C95" t="str">
        <f>"[PythonTest.xlsm]Test1!R"&amp;ROW(E95)&amp;"C"&amp;COLUMN(E95)</f>
        <v>[PythonTest.xlsm]Test1!R95C5</v>
      </c>
      <c r="E95" t="str">
        <f>pyTestCaller()</f>
        <v>[PythonTest.xlsm]Test1!R95C5</v>
      </c>
    </row>
    <row r="96" spans="1:8" x14ac:dyDescent="0.3">
      <c r="C96" t="str">
        <f>"[PythonTest.xlsm]Test1!R"&amp;ROW(E96)&amp;"C"&amp;COLUMN(E96)</f>
        <v>[PythonTest.xlsm]Test1!R96C5</v>
      </c>
      <c r="E96" t="str">
        <f>pyTestCaller()</f>
        <v>[PythonTest.xlsm]Test1!R96C5</v>
      </c>
    </row>
    <row r="99" spans="1:4" x14ac:dyDescent="0.3">
      <c r="A99" s="2" t="s">
        <v>66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C101" t="s">
        <v>63</v>
      </c>
    </row>
  </sheetData>
  <conditionalFormatting sqref="B6:B54 B62:B63">
    <cfRule type="expression" dxfId="5" priority="6">
      <formula>IFERROR(NOT(OR(ISBLANK(B6),B6)),TRUE)</formula>
    </cfRule>
  </conditionalFormatting>
  <conditionalFormatting sqref="B55">
    <cfRule type="expression" dxfId="4" priority="5">
      <formula>IFERROR(NOT(OR(ISBLANK(B55),B55)),TRUE)</formula>
    </cfRule>
  </conditionalFormatting>
  <conditionalFormatting sqref="B59">
    <cfRule type="expression" dxfId="3" priority="4">
      <formula>IFERROR(NOT(OR(ISBLANK(B59),B59)),TRUE)</formula>
    </cfRule>
  </conditionalFormatting>
  <conditionalFormatting sqref="B71">
    <cfRule type="expression" dxfId="2" priority="3">
      <formula>IFERROR(NOT(OR(ISBLANK(B71),B71)),TRUE)</formula>
    </cfRule>
  </conditionalFormatting>
  <conditionalFormatting sqref="B3">
    <cfRule type="expression" dxfId="1" priority="2">
      <formula>IFERROR(NOT(OR(ISBLANK(B3),B3)),TRUE)</formula>
    </cfRule>
  </conditionalFormatting>
  <conditionalFormatting sqref="D3">
    <cfRule type="expression" dxfId="0" priority="1">
      <formula>IFERROR(NOT(OR(ISBLANK(D3),D3)),TRUE)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320040</xdr:colOff>
                    <xdr:row>0</xdr:row>
                    <xdr:rowOff>137160</xdr:rowOff>
                  </from>
                  <to>
                    <xdr:col>5</xdr:col>
                    <xdr:colOff>922020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2021-12-30T12:35:20Z</dcterms:modified>
</cp:coreProperties>
</file>