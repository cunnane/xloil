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E0D11A4B-A10C-4BC4-844E-872B28B4E4BF}" xr6:coauthVersionLast="45" xr6:coauthVersionMax="45" xr10:uidLastSave="{00000000-0000-0000-0000-000000000000}"/>
  <bookViews>
    <workbookView xWindow="840" yWindow="-108" windowWidth="22308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1" l="1"/>
  <c r="D1" i="1"/>
  <c r="C58" i="1"/>
  <c r="D30" i="1"/>
  <c r="D29" i="1"/>
  <c r="C56" i="1"/>
  <c r="C57" i="1"/>
  <c r="D39" i="1"/>
  <c r="C52" i="1" l="1"/>
  <c r="D8" i="1"/>
  <c r="D53" i="1"/>
  <c r="B53" i="1" l="1"/>
  <c r="D4" i="1"/>
  <c r="D52" i="1"/>
  <c r="B52" i="1" l="1"/>
  <c r="B2" i="2"/>
  <c r="D11" i="2" s="1" a="1"/>
  <c r="C50" i="1"/>
  <c r="C49" i="1"/>
  <c r="C48" i="1"/>
  <c r="C45" i="1"/>
  <c r="C43" i="1"/>
  <c r="C29" i="1"/>
  <c r="C30" i="1" s="1"/>
  <c r="C25" i="1"/>
  <c r="C26" i="1" s="1"/>
  <c r="C21" i="1"/>
  <c r="C22" i="1" s="1"/>
  <c r="C17" i="1" a="1"/>
  <c r="C17" i="1" s="1"/>
  <c r="C14" i="1"/>
  <c r="C13" i="1"/>
  <c r="C15" i="1" s="1"/>
  <c r="D25" i="1"/>
  <c r="D42" i="1"/>
  <c r="D14" i="1"/>
  <c r="D13" i="1"/>
  <c r="C8" i="1"/>
  <c r="D43" i="1"/>
  <c r="D7" i="1"/>
  <c r="I45" i="1"/>
  <c r="D18" i="1"/>
  <c r="D5" i="1"/>
  <c r="I48" i="1"/>
  <c r="D17" i="1"/>
  <c r="C37" i="1"/>
  <c r="D21" i="1"/>
  <c r="D9" i="1"/>
  <c r="D10" i="1"/>
  <c r="D35" i="1"/>
  <c r="D11" i="1"/>
  <c r="D32" i="1"/>
  <c r="D26" i="1"/>
  <c r="D15" i="1"/>
  <c r="D22" i="1"/>
  <c r="B8" i="1" l="1"/>
  <c r="B35" i="1"/>
  <c r="B21" i="1"/>
  <c r="B7" i="1"/>
  <c r="B13" i="1"/>
  <c r="B29" i="1"/>
  <c r="B42" i="1"/>
  <c r="B30" i="1"/>
  <c r="B9" i="1"/>
  <c r="B10" i="1"/>
  <c r="B4" i="1"/>
  <c r="B25" i="1"/>
  <c r="B14" i="1"/>
  <c r="B5" i="1"/>
  <c r="B11" i="1"/>
  <c r="B18" i="1"/>
  <c r="B43" i="1"/>
  <c r="B17" i="1"/>
  <c r="B26" i="1"/>
  <c r="B15" i="1"/>
  <c r="B22" i="1"/>
  <c r="B39" i="1"/>
  <c r="D11" i="2"/>
  <c r="E11" i="2"/>
  <c r="E12" i="2"/>
  <c r="D12" i="2"/>
  <c r="D8" i="2" a="1"/>
  <c r="D5" i="2" a="1"/>
  <c r="D33" i="1"/>
  <c r="D45" i="1"/>
  <c r="D48" i="1"/>
  <c r="D49" i="1" a="1"/>
  <c r="B45" i="1" l="1"/>
  <c r="D49" i="1"/>
  <c r="B49" i="1" s="1"/>
  <c r="D50" i="1"/>
  <c r="B50" i="1" s="1"/>
  <c r="B48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<sst xmlns="http://schemas.openxmlformats.org/spreadsheetml/2006/main" count="57" uniqueCount="50">
  <si>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</si>
  <si>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</si>
  <si>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</si>
  <si>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</si>
  <si>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</si>
  <si>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</si>
  <si>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</si>
  <si>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</si>
  <si>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</si>
  <si>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</si>
  <si>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</si>
  <si>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</si>
  <si>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</si>
  <si>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</si>
  <si>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</si>
  <si>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</si>
  <si>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</si>
  <si>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</si>
  <si>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</si>
  <si>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</si>
  <si>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</si>
  <si>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</si>
  <si>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</si>
  <si>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</si>
  <si>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</si>
  <si>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</si>
  <si>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</si>
  <si>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</si>
  <si>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</si>
  <si>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</si>
  <si>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</si>
  <si>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</si>
  <si>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</si>
  <si>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</si>
  <si>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</si>
  <si>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</si>
  <si>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</si>
  <si>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</si>
  <si>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</si>
  <si>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</si>
  <si>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</si>
  <si>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</si>
  <si>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</si>
  <si>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</si>
  <si>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</si>
  <si>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</si>
  <si>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</si>
  <si>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https://www.bbc.com/news</t>
  </si>
  <si>
    <t>pyGetUrl</t>
  </si>
  <si>
    <t>Calc on Test1 finished at: 2020-07-01 18:43:32.534680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</si>
</sst>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applyNumberFormat="1"/>
  </cellXfs>
  <cellStyles count="1"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58"/>
  <sheetViews>
    <sheetView showGridLines="0" tabSelected="1" workbookViewId="0">
      <selection activeCell="I14" sqref="I14"/>
    </sheetView>
  </sheetViews>
  <sheetFormatPr defaultRowHeight="14.4" x14ac:dyDescent="0.3"/>
  <cols>
    <col min="1" max="1" width="31.77734375" customWidth="1"/>
    <col min="3" max="3" width="12.6640625" customWidth="1"/>
    <col min="4" max="4" width="18.21875" customWidth="1"/>
    <col min="5" max="5" width="5.6640625" style="12" customWidth="1"/>
    <col min="6" max="6" width="15" style="5" customWidth="1"/>
    <col min="7" max="7" width="8.88671875" style="5"/>
    <col min="8" max="8" width="15.88671875" style="5" customWidth="1"/>
    <col min="9" max="9" width="8.88671875" style="5"/>
  </cols>
  <sheetData>
    <row r="1" spans="1:8" x14ac:dyDescent="0.3">
      <c r="A1" s="6" t="s">
        <v>49</v>
      </c>
      <c r="B1" s="6"/>
      <c r="C1" s="6"/>
      <c r="D1" s="26" t="e">
        <f ca="1">_xll.pyTestAsyncGen(2)</f>
        <v>#VALUE!</v>
      </c>
      <c r="H1" s="25"/>
    </row>
    <row r="2" spans="1:8" x14ac:dyDescent="0.3">
      <c r="A2" s="17"/>
      <c r="B2" s="12"/>
      <c r="C2" s="12"/>
    </row>
    <row r="3" spans="1:8" x14ac:dyDescent="0.3">
      <c r="A3" s="1" t="s">
        <v>41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reading 'z' arg #3: Failed reading : Missing argument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reading 'a' arg #3: Failed converting 3.2</v>
      </c>
      <c r="D8" s="10" t="str">
        <f>pySumNums(1,2,3.2)</f>
        <v>Error reading 'a' arg #3: Failed converting 3.2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reading 'x' arg #1: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C25=D25</f>
        <v>1</v>
      </c>
      <c r="C25" t="str">
        <f>G26</f>
        <v>parrot</v>
      </c>
      <c r="D25" s="7" t="str">
        <f>pyTestKwargs(F26,F25:G26)</f>
        <v>parrot</v>
      </c>
      <c r="F25" s="19" t="s">
        <v>17</v>
      </c>
      <c r="G25" s="19" t="s">
        <v>19</v>
      </c>
    </row>
    <row r="26" spans="1:9" x14ac:dyDescent="0.3">
      <c r="A26" s="2" t="s">
        <v>28</v>
      </c>
      <c r="B26" t="e">
        <f ca="1">C26=D26</f>
        <v>#VALUE!</v>
      </c>
      <c r="C26" t="str">
        <f>C25</f>
        <v>parrot</v>
      </c>
      <c r="D26" s="7" t="e">
        <f ca="1">pyTestKwargs(F26,_xll.xloRef(F25:G26))</f>
        <v>#VALUE!</v>
      </c>
      <c r="F26" s="19" t="s">
        <v>18</v>
      </c>
      <c r="G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44</v>
      </c>
      <c r="B30" t="e">
        <f ca="1">C30=D30</f>
        <v>#VALUE!</v>
      </c>
      <c r="C30" t="str">
        <f>C29</f>
        <v>foo</v>
      </c>
      <c r="D30" s="9" t="e">
        <f ca="1">_xll.pyTestAsyncRtd(F29,1)</f>
        <v>#VALUE!</v>
      </c>
    </row>
    <row r="32" spans="1:9" x14ac:dyDescent="0.3">
      <c r="A32" s="2" t="s">
        <v>25</v>
      </c>
      <c r="D32" s="5" t="str">
        <f>pyTestCache()</f>
        <v>欣[PythonTest.xlsm]Test1!R32C4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M34" s="5"/>
    </row>
    <row r="35" spans="1:13" x14ac:dyDescent="0.3">
      <c r="A35" s="2" t="s">
        <v>29</v>
      </c>
      <c r="B35" t="b">
        <f>C35=D35</f>
        <v>1</v>
      </c>
      <c r="C35">
        <v>4</v>
      </c>
      <c r="D35" s="7">
        <f>SUM(pyTestIter(4,1))</f>
        <v>4</v>
      </c>
      <c r="M35" s="5"/>
    </row>
    <row r="36" spans="1:13" x14ac:dyDescent="0.3">
      <c r="M36" s="5"/>
    </row>
    <row r="37" spans="1:13" x14ac:dyDescent="0.3">
      <c r="A37" s="2" t="s">
        <v>42</v>
      </c>
      <c r="C37" t="str">
        <f>pyTestCom()</f>
        <v>{90160000-000F-0000-1000-0000000FF1CE}</v>
      </c>
      <c r="M37" s="5"/>
    </row>
    <row r="38" spans="1:13" x14ac:dyDescent="0.3">
      <c r="A38" s="2"/>
      <c r="M38" s="5"/>
    </row>
    <row r="39" spans="1:13" x14ac:dyDescent="0.3">
      <c r="A39" s="2" t="s">
        <v>43</v>
      </c>
      <c r="B39" t="e">
        <f ca="1">C39=D39</f>
        <v>#VALUE!</v>
      </c>
      <c r="C39" s="4" t="str">
        <f ca="1">MID(CELL("filename"),FIND("[",CELL("filename")),100)&amp;"!"&amp;ADDRESS(ROW(G40),COLUMN(G40),4)</f>
        <v>[PythonTest.xlsm]Test1!G40</v>
      </c>
      <c r="D39" s="10" t="e">
        <f ca="1">pyTestRange(F39:G40)</f>
        <v>#VALUE!</v>
      </c>
      <c r="E39" s="16"/>
      <c r="F39" s="19">
        <v>1</v>
      </c>
      <c r="G39" s="19">
        <v>2</v>
      </c>
      <c r="M39" s="5"/>
    </row>
    <row r="40" spans="1:13" x14ac:dyDescent="0.3">
      <c r="A40" s="2"/>
      <c r="F40" s="19">
        <v>3</v>
      </c>
      <c r="G40" s="19">
        <v>4</v>
      </c>
      <c r="M40" s="5"/>
    </row>
    <row r="41" spans="1:13" x14ac:dyDescent="0.3">
      <c r="A41" s="2"/>
      <c r="M41" s="5"/>
    </row>
    <row r="42" spans="1:13" x14ac:dyDescent="0.3">
      <c r="A42" s="2" t="s">
        <v>34</v>
      </c>
      <c r="B42" t="b">
        <f>C42=D42</f>
        <v>1</v>
      </c>
      <c r="C42">
        <v>2</v>
      </c>
      <c r="D42" s="7">
        <f>pyTestCustomConv(1)</f>
        <v>2</v>
      </c>
    </row>
    <row r="43" spans="1:13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13" x14ac:dyDescent="0.3">
      <c r="A44" s="2"/>
    </row>
    <row r="45" spans="1:13" x14ac:dyDescent="0.3">
      <c r="A45" s="2" t="s">
        <v>36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35</v>
      </c>
      <c r="G45" s="20" t="s">
        <v>30</v>
      </c>
      <c r="H45" s="20" t="s">
        <v>31</v>
      </c>
      <c r="I45" s="21" t="str">
        <f>pyTestDFrame(F45:H46)</f>
        <v>欣[PythonTest.xlsm]Test1!R45C9</v>
      </c>
    </row>
    <row r="46" spans="1:13" x14ac:dyDescent="0.3">
      <c r="A46" s="2"/>
      <c r="F46" s="20">
        <v>1</v>
      </c>
      <c r="G46" s="20">
        <v>2</v>
      </c>
      <c r="H46" s="20">
        <v>3</v>
      </c>
    </row>
    <row r="47" spans="1:13" x14ac:dyDescent="0.3">
      <c r="A47" s="2"/>
    </row>
    <row r="48" spans="1:13" x14ac:dyDescent="0.3">
      <c r="A48" s="2" t="s">
        <v>37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38</v>
      </c>
      <c r="G48" s="19" t="s">
        <v>35</v>
      </c>
      <c r="H48" s="19" t="s">
        <v>30</v>
      </c>
      <c r="I48" s="21" t="str">
        <f>pyTestDFrameIndex(F48:H50)</f>
        <v>欣[PythonTest.xlsm]Test1!R48C9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39</v>
      </c>
      <c r="B52" t="b">
        <f>C52=D52</f>
        <v>1</v>
      </c>
      <c r="C52" s="3">
        <f>F52+1</f>
        <v>42737</v>
      </c>
      <c r="D52" s="8">
        <f>pyTestDate(F52)</f>
        <v>42737</v>
      </c>
      <c r="E52" s="14"/>
      <c r="F52" s="22">
        <v>42736</v>
      </c>
    </row>
    <row r="53" spans="1:8" x14ac:dyDescent="0.3">
      <c r="B53" t="b">
        <f>D53=C53</f>
        <v>1</v>
      </c>
      <c r="C53" s="3">
        <v>42768</v>
      </c>
      <c r="D53" s="8">
        <f>pyTestDate(F53)</f>
        <v>42768</v>
      </c>
      <c r="E53" s="14"/>
      <c r="F53" s="23" t="s">
        <v>40</v>
      </c>
    </row>
    <row r="56" spans="1:8" x14ac:dyDescent="0.3">
      <c r="A56" s="2" t="s">
        <v>48</v>
      </c>
      <c r="C56" s="24" t="e">
        <f ca="1">_xll.pyGetUrl(D56)</f>
        <v>#VALUE!</v>
      </c>
      <c r="D56" t="s">
        <v>45</v>
      </c>
    </row>
    <row r="57" spans="1:8" x14ac:dyDescent="0.3">
      <c r="A57" s="5"/>
      <c r="C57" s="24" t="e">
        <f ca="1">_xll.pyGetUrl(D57)</f>
        <v>#VALUE!</v>
      </c>
      <c r="D57" t="s">
        <v>46</v>
      </c>
    </row>
    <row r="58" spans="1:8" x14ac:dyDescent="0.3">
      <c r="A58" s="5"/>
      <c r="C58" s="24" t="e">
        <f ca="1">_xll.pyGetUrl(D58)</f>
        <v>#VALUE!</v>
      </c>
      <c r="D58" t="s">
        <v>47</v>
      </c>
    </row>
  </sheetData>
  <conditionalFormatting sqref="B4:B53">
    <cfRule type="expression" dxfId="0" priority="1">
      <formula>IFERROR(NOT(OR(ISBLANK(B4),B4)),TRUE)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33</v>
      </c>
      <c r="E2" t="s">
        <v>30</v>
      </c>
    </row>
    <row r="3" spans="2:5" x14ac:dyDescent="0.3">
      <c r="D3" t="s">
        <v>31</v>
      </c>
      <c r="E3" t="s">
        <v>32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2020-07-01T16:43:36Z</dcterms:modified>
</cp:coreProperties>
</file>