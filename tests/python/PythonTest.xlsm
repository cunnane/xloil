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85562385-0938-422B-8646-E32EABA44030}" xr6:coauthVersionLast="45" xr6:coauthVersionMax="45" xr10:uidLastSave="{00000000-0000-0000-0000-000000000000}"/>
  <bookViews>
    <workbookView xWindow="864" yWindow="-108" windowWidth="22284" windowHeight="13176" xr2:uid="{00000000-000D-0000-FFFF-FFFF00000000}"/>
  </bookViews>
  <sheets>
    <sheet name="Test1" sheetId="1" r:id="rId1"/>
    <sheet name="Sheet2" sheetId="2" r:id="rId2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9" i="1" l="1"/>
  <c r="C52" i="1" l="1"/>
  <c r="D53" i="1"/>
  <c r="D8" i="1"/>
  <c r="B53" i="1" l="1"/>
  <c r="D30" i="1"/>
  <c r="D52" i="1"/>
  <c r="D4" i="1"/>
  <c r="B52" i="1" l="1"/>
  <c r="B2" i="2"/>
  <c r="D11" i="2" s="1" a="1"/>
  <c r="C50" i="1"/>
  <c r="C49" i="1"/>
  <c r="C48" i="1"/>
  <c r="C45" i="1"/>
  <c r="C43" i="1"/>
  <c r="C41" i="1"/>
  <c r="C29" i="1"/>
  <c r="C30" i="1" s="1"/>
  <c r="C25" i="1"/>
  <c r="C26" i="1" s="1"/>
  <c r="C21" i="1"/>
  <c r="C22" i="1" s="1"/>
  <c r="C17" i="1" a="1"/>
  <c r="C17" i="1" s="1"/>
  <c r="C14" i="1"/>
  <c r="C13" i="1"/>
  <c r="C15" i="1" s="1"/>
  <c r="D25" i="1"/>
  <c r="D21" i="1"/>
  <c r="D18" i="1"/>
  <c r="D14" i="1"/>
  <c r="D22" i="1"/>
  <c r="D32" i="1"/>
  <c r="D43" i="1"/>
  <c r="I45" i="1"/>
  <c r="D42" i="1"/>
  <c r="D7" i="1"/>
  <c r="D5" i="1"/>
  <c r="D17" i="1"/>
  <c r="D15" i="1"/>
  <c r="D9" i="1"/>
  <c r="D29" i="1"/>
  <c r="I48" i="1"/>
  <c r="C37" i="1"/>
  <c r="D11" i="1"/>
  <c r="D26" i="1"/>
  <c r="D35" i="1"/>
  <c r="D13" i="1"/>
  <c r="D10" i="1"/>
  <c r="C8" i="1"/>
  <c r="D39" i="1"/>
  <c r="B8" i="1" l="1"/>
  <c r="B35" i="1"/>
  <c r="B21" i="1"/>
  <c r="B7" i="1"/>
  <c r="B13" i="1"/>
  <c r="B29" i="1"/>
  <c r="B42" i="1"/>
  <c r="B30" i="1"/>
  <c r="B9" i="1"/>
  <c r="B10" i="1"/>
  <c r="B4" i="1"/>
  <c r="B25" i="1"/>
  <c r="B14" i="1"/>
  <c r="B5" i="1"/>
  <c r="B11" i="1"/>
  <c r="B18" i="1"/>
  <c r="B43" i="1"/>
  <c r="B17" i="1"/>
  <c r="B26" i="1"/>
  <c r="B15" i="1"/>
  <c r="B22" i="1"/>
  <c r="B39" i="1"/>
  <c r="D11" i="2"/>
  <c r="E11" i="2"/>
  <c r="E12" i="2"/>
  <c r="D12" i="2"/>
  <c r="D8" i="2" a="1"/>
  <c r="D5" i="2" a="1"/>
  <c r="D49" i="1" a="1"/>
  <c r="D45" i="1"/>
  <c r="D48" i="1"/>
  <c r="D33" i="1"/>
  <c r="B45" i="1" l="1"/>
  <c r="D49" i="1"/>
  <c r="B49" i="1" s="1"/>
  <c r="D50" i="1"/>
  <c r="B48" i="1"/>
  <c r="B50" i="1"/>
  <c r="B33" i="1"/>
  <c r="D6" i="2"/>
  <c r="E5" i="2"/>
  <c r="D5" i="2"/>
  <c r="E6" i="2"/>
  <c r="E9" i="2"/>
  <c r="D9" i="2"/>
  <c r="E8" i="2"/>
  <c r="D8" i="2"/>
  <c r="B5" i="2" l="1"/>
  <c r="D14" i="2" s="1" a="1"/>
  <c r="D15" i="2" s="1"/>
  <c r="E15" i="2" l="1"/>
  <c r="E14" i="2"/>
  <c r="D14" i="2"/>
</calcChain>
</file>

<file path=xl/sharedStrings.xml><?xml version="1.0" encoding="utf-8"?>
<sst xmlns="http://schemas.openxmlformats.org/spreadsheetml/2006/main" count="52" uniqueCount="45">
  <si>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</si>
  <si>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</si>
  <si>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</si>
  <si>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</si>
  <si>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</si>
  <si>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</si>
  <si>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</si>
  <si>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</si>
  <si>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</si>
  <si>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</si>
  <si>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</si>
  <si>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</si>
  <si>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</si>
  <si>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</si>
  <si>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</si>
  <si>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</si>
  <si>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</si>
  <si>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</si>
  <si>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</si>
  <si>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</si>
  <si>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</si>
  <si>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</si>
  <si>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</si>
  <si>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</si>
  <si>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</si>
  <si>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</si>
  <si>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</si>
  <si>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</si>
  <si>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pyTestKwargs:cache_ref</t>
  </si>
  <si>
    <t>pyTestIter</t>
  </si>
  <si>
    <t>B</t>
  </si>
  <si>
    <t>C</t>
  </si>
  <si>
    <t>D</t>
  </si>
  <si>
    <t>X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</si>
  <si>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</si>
  <si>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</si>
  <si>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</si>
  <si>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</si>
  <si>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</si>
  <si>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</si>
  <si>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</si>
  <si>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</si>
  <si>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</si>
  <si>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</si>
  <si>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Calc on Test1 finished at: 2020-05-06 22:10:19.237565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</si>
</sst>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1" fillId="0" borderId="0" xfId="0" applyFont="1" applyBorder="1"/>
    <xf numFmtId="0" fontId="0" fillId="0" borderId="0" xfId="0" applyFill="1"/>
    <xf numFmtId="0" fontId="1" fillId="0" borderId="0" xfId="0" applyFont="1" applyFill="1"/>
    <xf numFmtId="14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2" fillId="0" borderId="0" xfId="0" applyFont="1" applyFill="1"/>
    <xf numFmtId="0" fontId="0" fillId="0" borderId="0" xfId="0" applyFont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4" fontId="0" fillId="3" borderId="0" xfId="0" applyNumberFormat="1" applyFill="1" applyBorder="1"/>
    <xf numFmtId="14" fontId="0" fillId="3" borderId="0" xfId="0" quotePrefix="1" applyNumberFormat="1" applyFill="1" applyBorder="1"/>
  </cellXfs>
  <cellStyles count="1">
    <cellStyle name="Normal" xfId="0" builtinId="0"/>
  </cellStyles>
  <dxfs count="1"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53"/>
  <sheetViews>
    <sheetView showGridLines="0" tabSelected="1" workbookViewId="0">
      <selection activeCell="L16" sqref="L16"/>
    </sheetView>
  </sheetViews>
  <sheetFormatPr defaultRowHeight="14.4" x14ac:dyDescent="0.3"/>
  <cols>
    <col min="1" max="1" width="31.77734375" customWidth="1"/>
    <col min="3" max="3" width="12.6640625" customWidth="1"/>
    <col min="4" max="4" width="13" customWidth="1"/>
    <col min="5" max="5" width="5.6640625" style="12" customWidth="1"/>
    <col min="6" max="6" width="15" style="5" customWidth="1"/>
    <col min="7" max="9" width="8.88671875" style="5"/>
  </cols>
  <sheetData>
    <row r="1" spans="1:12" x14ac:dyDescent="0.3">
      <c r="A1" s="6" t="s">
        <v>44</v>
      </c>
      <c r="B1" s="6"/>
      <c r="C1" s="6"/>
    </row>
    <row r="2" spans="1:12" x14ac:dyDescent="0.3">
      <c r="A2" s="17"/>
      <c r="B2" s="12"/>
      <c r="C2" s="12"/>
    </row>
    <row r="3" spans="1:12" x14ac:dyDescent="0.3">
      <c r="A3" s="1" t="s">
        <v>41</v>
      </c>
      <c r="B3" s="1" t="s">
        <v>2</v>
      </c>
      <c r="C3" s="1" t="s">
        <v>13</v>
      </c>
      <c r="D3" s="1" t="s">
        <v>14</v>
      </c>
      <c r="E3" s="13"/>
      <c r="F3" s="11" t="s">
        <v>16</v>
      </c>
    </row>
    <row r="4" spans="1:12" x14ac:dyDescent="0.3">
      <c r="A4" s="2" t="s">
        <v>0</v>
      </c>
      <c r="B4" t="b">
        <f>C4=D4</f>
        <v>1</v>
      </c>
      <c r="C4">
        <v>6</v>
      </c>
      <c r="D4" s="7">
        <f>pySum(1,2,3)</f>
        <v>6</v>
      </c>
    </row>
    <row r="5" spans="1:12" x14ac:dyDescent="0.3">
      <c r="A5" s="2" t="s">
        <v>4</v>
      </c>
      <c r="B5" t="b">
        <f>NOT(ISERROR(FIND("Error",D5)))</f>
        <v>1</v>
      </c>
      <c r="C5" t="s">
        <v>15</v>
      </c>
      <c r="D5" s="10" t="str">
        <f>pySum(1,2)</f>
        <v>Error reading 'z' arg #3: Failed reading : Missing argument</v>
      </c>
    </row>
    <row r="6" spans="1:12" x14ac:dyDescent="0.3">
      <c r="A6" s="2"/>
    </row>
    <row r="7" spans="1:12" x14ac:dyDescent="0.3">
      <c r="A7" s="2" t="s">
        <v>1</v>
      </c>
      <c r="B7" t="b">
        <f>C7=D7</f>
        <v>1</v>
      </c>
      <c r="C7">
        <v>9</v>
      </c>
      <c r="D7" s="7">
        <f>pySumNums(1,2,3)</f>
        <v>9</v>
      </c>
    </row>
    <row r="8" spans="1:12" x14ac:dyDescent="0.3">
      <c r="A8" s="2" t="s">
        <v>3</v>
      </c>
      <c r="B8" t="b">
        <f>NOT(ISERROR(FIND("Error",C8)))</f>
        <v>1</v>
      </c>
      <c r="C8" t="str">
        <f>pySumNums(1,2,3.2)</f>
        <v>Error reading 'a' arg #3: Failed converting 3.2</v>
      </c>
      <c r="D8" s="10" t="str">
        <f>pySumNums(1,2,3.2)</f>
        <v>Error reading 'a' arg #3: Failed converting 3.2</v>
      </c>
    </row>
    <row r="9" spans="1:12" x14ac:dyDescent="0.3">
      <c r="A9" s="2" t="s">
        <v>5</v>
      </c>
      <c r="B9" s="18" t="b">
        <f>D9=C9</f>
        <v>1</v>
      </c>
      <c r="C9">
        <v>3</v>
      </c>
      <c r="D9" s="7">
        <f>pyRoundTrip(C9)</f>
        <v>3</v>
      </c>
    </row>
    <row r="10" spans="1:12" x14ac:dyDescent="0.3">
      <c r="A10" s="2" t="s">
        <v>6</v>
      </c>
      <c r="B10" t="b">
        <f>D10=C10</f>
        <v>1</v>
      </c>
      <c r="C10">
        <v>3.3</v>
      </c>
      <c r="D10" s="7">
        <f>pyRoundTrip(C10)</f>
        <v>3.3</v>
      </c>
    </row>
    <row r="11" spans="1:12" x14ac:dyDescent="0.3">
      <c r="A11" s="2" t="s">
        <v>7</v>
      </c>
      <c r="B11" t="b">
        <f>D11=C11</f>
        <v>1</v>
      </c>
      <c r="C11" s="3">
        <v>42736</v>
      </c>
      <c r="D11" s="8">
        <f>pyRoundTrip(C11)</f>
        <v>42736</v>
      </c>
      <c r="E11" s="14"/>
    </row>
    <row r="12" spans="1:12" x14ac:dyDescent="0.3">
      <c r="A12" s="2"/>
      <c r="C12" s="3"/>
      <c r="D12" s="3"/>
      <c r="E12" s="14"/>
    </row>
    <row r="13" spans="1:12" x14ac:dyDescent="0.3">
      <c r="A13" s="2" t="s">
        <v>8</v>
      </c>
      <c r="B13" t="b">
        <f>C13=D13</f>
        <v>1</v>
      </c>
      <c r="C13">
        <f>SUM(F13:H13)</f>
        <v>6</v>
      </c>
      <c r="D13" s="7">
        <f>SUM(pyRoundTrip(F13:H13))</f>
        <v>6</v>
      </c>
      <c r="F13" s="19">
        <v>1</v>
      </c>
      <c r="G13" s="19">
        <v>2</v>
      </c>
      <c r="H13" s="19">
        <v>3</v>
      </c>
    </row>
    <row r="14" spans="1:12" x14ac:dyDescent="0.3">
      <c r="A14" s="2" t="s">
        <v>9</v>
      </c>
      <c r="B14" t="b">
        <f>ISNA(D14)</f>
        <v>1</v>
      </c>
      <c r="C14" t="e">
        <f>NA()</f>
        <v>#N/A</v>
      </c>
      <c r="D14" s="7" t="e">
        <f>(pyRoundTrip(F14:H14))</f>
        <v>#N/A</v>
      </c>
    </row>
    <row r="15" spans="1:12" x14ac:dyDescent="0.3">
      <c r="A15" s="2" t="s">
        <v>26</v>
      </c>
      <c r="B15" t="b">
        <f>C15=D15</f>
        <v>1</v>
      </c>
      <c r="C15">
        <f>C13</f>
        <v>6</v>
      </c>
      <c r="D15" s="7">
        <f>SUM(pyRoundTrip(_xll.xloRef(F13:H13)))</f>
        <v>6</v>
      </c>
    </row>
    <row r="16" spans="1:12" x14ac:dyDescent="0.3">
      <c r="L16">
        <v>0</v>
      </c>
    </row>
    <row r="17" spans="1:9" x14ac:dyDescent="0.3">
      <c r="A17" s="2" t="s">
        <v>10</v>
      </c>
      <c r="B17" t="b">
        <f>C17=D17</f>
        <v>1</v>
      </c>
      <c r="C17">
        <f t="array" ref="C17">SUM(G17:I17*F17)</f>
        <v>18.600000000000001</v>
      </c>
      <c r="D17" s="7">
        <f>SUM(pyTestArr1d(G17:I17,F17))</f>
        <v>18.600000000000001</v>
      </c>
      <c r="F17" s="19">
        <v>3.1</v>
      </c>
      <c r="G17" s="19">
        <v>1</v>
      </c>
      <c r="H17" s="19">
        <v>2</v>
      </c>
      <c r="I17" s="19">
        <v>3</v>
      </c>
    </row>
    <row r="18" spans="1:9" x14ac:dyDescent="0.3">
      <c r="A18" s="2" t="s">
        <v>11</v>
      </c>
      <c r="B18" t="b">
        <f>NOT(ISERROR(FIND("Error",D18)))</f>
        <v>1</v>
      </c>
      <c r="C18" t="s">
        <v>15</v>
      </c>
      <c r="D18" s="7" t="str">
        <f>pyTestArr1d(G18:I19,F18)</f>
        <v>Error reading 'x' arg #1: Failed reading [2 x 3]: Expecting a 1-dim array</v>
      </c>
      <c r="F18" s="19">
        <v>3.1</v>
      </c>
      <c r="G18" s="19">
        <v>1</v>
      </c>
      <c r="H18" s="19">
        <v>2</v>
      </c>
      <c r="I18" s="19">
        <v>3</v>
      </c>
    </row>
    <row r="19" spans="1:9" x14ac:dyDescent="0.3">
      <c r="F19" s="19"/>
      <c r="G19" s="19">
        <v>4</v>
      </c>
      <c r="H19" s="19">
        <v>5</v>
      </c>
      <c r="I19" s="19">
        <v>6</v>
      </c>
    </row>
    <row r="21" spans="1:9" x14ac:dyDescent="0.3">
      <c r="A21" s="2" t="s">
        <v>12</v>
      </c>
      <c r="B21" t="b">
        <f>C21=D21</f>
        <v>1</v>
      </c>
      <c r="C21">
        <f>SUM(F21:G22)</f>
        <v>10</v>
      </c>
      <c r="D21" s="7">
        <f>SUM(pyTestArr2d(F21:G22))</f>
        <v>10</v>
      </c>
      <c r="F21" s="19">
        <v>1</v>
      </c>
      <c r="G21" s="19">
        <v>2</v>
      </c>
    </row>
    <row r="22" spans="1:9" x14ac:dyDescent="0.3">
      <c r="A22" s="2" t="s">
        <v>27</v>
      </c>
      <c r="B22" t="b">
        <f>C22=D22</f>
        <v>1</v>
      </c>
      <c r="C22">
        <f>C21</f>
        <v>10</v>
      </c>
      <c r="D22" s="7">
        <f>SUM(pyTestArr2d(_xll.xloRef(F21:G22)))</f>
        <v>10</v>
      </c>
      <c r="F22" s="19">
        <v>3</v>
      </c>
      <c r="G22" s="19">
        <v>4</v>
      </c>
    </row>
    <row r="25" spans="1:9" x14ac:dyDescent="0.3">
      <c r="A25" s="2" t="s">
        <v>21</v>
      </c>
      <c r="B25" t="b">
        <f>C25=D25</f>
        <v>1</v>
      </c>
      <c r="C25" t="str">
        <f>G26</f>
        <v>parrot</v>
      </c>
      <c r="D25" s="7" t="str">
        <f>pyTestKwargs(F26,F25:G26)</f>
        <v>parrot</v>
      </c>
      <c r="F25" s="19" t="s">
        <v>17</v>
      </c>
      <c r="G25" s="19" t="s">
        <v>19</v>
      </c>
    </row>
    <row r="26" spans="1:9" x14ac:dyDescent="0.3">
      <c r="A26" s="2" t="s">
        <v>28</v>
      </c>
      <c r="B26" t="b">
        <f>C26=D26</f>
        <v>1</v>
      </c>
      <c r="C26" t="str">
        <f>C25</f>
        <v>parrot</v>
      </c>
      <c r="D26" s="7" t="str">
        <f>pyTestKwargs(F26,_xll.xloRef(F25:G26))</f>
        <v>parrot</v>
      </c>
      <c r="F26" s="19" t="s">
        <v>18</v>
      </c>
      <c r="G26" s="19" t="s">
        <v>20</v>
      </c>
    </row>
    <row r="29" spans="1:9" x14ac:dyDescent="0.3">
      <c r="A29" s="2" t="s">
        <v>22</v>
      </c>
      <c r="B29" t="b">
        <f>C29=D29</f>
        <v>1</v>
      </c>
      <c r="C29" t="str">
        <f>F29</f>
        <v>foo</v>
      </c>
      <c r="D29" s="9" t="str">
        <f>_xll.pyTestAsync(F29,1)</f>
        <v>foo</v>
      </c>
      <c r="E29" s="15"/>
      <c r="F29" s="19" t="s">
        <v>23</v>
      </c>
    </row>
    <row r="30" spans="1:9" x14ac:dyDescent="0.3">
      <c r="B30" t="b">
        <f>C30=D30</f>
        <v>1</v>
      </c>
      <c r="C30" t="str">
        <f>C29</f>
        <v>foo</v>
      </c>
      <c r="D30" s="7" t="str">
        <f>_xll.pyTestAsyncThread(F29,1)</f>
        <v>foo</v>
      </c>
    </row>
    <row r="32" spans="1:9" x14ac:dyDescent="0.3">
      <c r="A32" s="2" t="s">
        <v>25</v>
      </c>
      <c r="D32" s="5" t="str">
        <f>pyTestCache()</f>
        <v>欣[PythonTest.xlsm]Test1!R32C4</v>
      </c>
    </row>
    <row r="33" spans="1:9" x14ac:dyDescent="0.3">
      <c r="B33" t="b">
        <f>C33=D33</f>
        <v>1</v>
      </c>
      <c r="C33" t="s">
        <v>24</v>
      </c>
      <c r="D33" s="7" t="str">
        <f>pyTestCache(D32)</f>
        <v>Hello world</v>
      </c>
    </row>
    <row r="35" spans="1:9" x14ac:dyDescent="0.3">
      <c r="A35" s="2" t="s">
        <v>29</v>
      </c>
      <c r="B35" t="b">
        <f>C35=D35</f>
        <v>1</v>
      </c>
      <c r="C35">
        <v>4</v>
      </c>
      <c r="D35" s="7">
        <f>SUM(pyTestIter(4,1))</f>
        <v>4</v>
      </c>
    </row>
    <row r="37" spans="1:9" x14ac:dyDescent="0.3">
      <c r="A37" s="2" t="s">
        <v>42</v>
      </c>
      <c r="C37" t="str">
        <f>pyTestCom()</f>
        <v>{90160000-000F-0000-1000-0000000FF1CE}</v>
      </c>
    </row>
    <row r="38" spans="1:9" x14ac:dyDescent="0.3">
      <c r="A38" s="2"/>
    </row>
    <row r="39" spans="1:9" x14ac:dyDescent="0.3">
      <c r="A39" s="2" t="s">
        <v>43</v>
      </c>
      <c r="B39" t="b">
        <f ca="1">C39=D39</f>
        <v>1</v>
      </c>
      <c r="C39" s="4" t="str">
        <f ca="1">MID(CELL("filename"),FIND("[",CELL("filename")),100)&amp;"!"&amp;ADDRESS(ROW(G40),COLUMN(G40),4)</f>
        <v>[PythonTest.xlsm]Test1!G40</v>
      </c>
      <c r="D39" s="10" t="str">
        <f ca="1">pyTestRange(F39:G40)</f>
        <v>[PythonTest.xlsm]Test1!G40</v>
      </c>
      <c r="E39" s="16"/>
      <c r="F39" s="19">
        <v>1</v>
      </c>
      <c r="G39" s="19">
        <v>2</v>
      </c>
    </row>
    <row r="40" spans="1:9" x14ac:dyDescent="0.3">
      <c r="A40" s="2"/>
      <c r="F40" s="19">
        <v>3</v>
      </c>
      <c r="G40" s="19">
        <v>4</v>
      </c>
    </row>
    <row r="41" spans="1:9" x14ac:dyDescent="0.3">
      <c r="A41" s="2"/>
      <c r="C41" t="str">
        <f ca="1">C39</f>
        <v>[PythonTest.xlsm]Test1!G40</v>
      </c>
    </row>
    <row r="42" spans="1:9" x14ac:dyDescent="0.3">
      <c r="A42" s="2" t="s">
        <v>34</v>
      </c>
      <c r="B42" t="b">
        <f>C42=D42</f>
        <v>1</v>
      </c>
      <c r="C42">
        <v>2</v>
      </c>
      <c r="D42" s="7">
        <f>pyTestCustomConv(1)</f>
        <v>2</v>
      </c>
    </row>
    <row r="43" spans="1:9" x14ac:dyDescent="0.3">
      <c r="A43" s="2"/>
      <c r="B43" t="b">
        <f>C43=D43</f>
        <v>1</v>
      </c>
      <c r="C43">
        <f>2*SUM(F43:G43)</f>
        <v>14</v>
      </c>
      <c r="D43" s="7">
        <f>SUM(pyTestCustomConv(F43:G43))</f>
        <v>14</v>
      </c>
      <c r="F43" s="19">
        <v>3</v>
      </c>
      <c r="G43" s="19">
        <v>4</v>
      </c>
    </row>
    <row r="44" spans="1:9" x14ac:dyDescent="0.3">
      <c r="A44" s="2"/>
    </row>
    <row r="45" spans="1:9" x14ac:dyDescent="0.3">
      <c r="A45" s="2" t="s">
        <v>36</v>
      </c>
      <c r="B45" t="b">
        <f>C45=D45</f>
        <v>1</v>
      </c>
      <c r="C45">
        <f>G46</f>
        <v>2</v>
      </c>
      <c r="D45" s="7">
        <f>pyTestFrameFetch(I45,,"B")</f>
        <v>2</v>
      </c>
      <c r="F45" s="20" t="s">
        <v>35</v>
      </c>
      <c r="G45" s="20" t="s">
        <v>30</v>
      </c>
      <c r="H45" s="20" t="s">
        <v>31</v>
      </c>
      <c r="I45" s="21" t="str">
        <f>pyTestDFrame(F45:H46)</f>
        <v>欣[PythonTest.xlsm]Test1!R45C9</v>
      </c>
    </row>
    <row r="46" spans="1:9" x14ac:dyDescent="0.3">
      <c r="A46" s="2"/>
      <c r="F46" s="20">
        <v>1</v>
      </c>
      <c r="G46" s="20">
        <v>2</v>
      </c>
      <c r="H46" s="20">
        <v>3</v>
      </c>
    </row>
    <row r="47" spans="1:9" x14ac:dyDescent="0.3">
      <c r="A47" s="2"/>
    </row>
    <row r="48" spans="1:9" x14ac:dyDescent="0.3">
      <c r="A48" s="2" t="s">
        <v>37</v>
      </c>
      <c r="B48" t="b">
        <f>C48=D48</f>
        <v>1</v>
      </c>
      <c r="C48" t="str">
        <f>H49</f>
        <v>Foo</v>
      </c>
      <c r="D48" s="7" t="str">
        <f>pyTestFrameFetch(I48,0,"B")</f>
        <v>Foo</v>
      </c>
      <c r="F48" s="19" t="s">
        <v>38</v>
      </c>
      <c r="G48" s="19" t="s">
        <v>35</v>
      </c>
      <c r="H48" s="19" t="s">
        <v>30</v>
      </c>
      <c r="I48" s="21" t="str">
        <f>pyTestDFrameIndex(F48:H50)</f>
        <v>欣[PythonTest.xlsm]Test1!R48C9</v>
      </c>
    </row>
    <row r="49" spans="1:8" x14ac:dyDescent="0.3">
      <c r="A49" s="2"/>
      <c r="B49" t="b">
        <f t="shared" ref="B49:B50" si="0">C49=D49</f>
        <v>1</v>
      </c>
      <c r="C49">
        <f>G50</f>
        <v>2.1</v>
      </c>
      <c r="D49" s="7">
        <f t="array" ref="D49:D50">pyTestFrameFetch(I48,1)</f>
        <v>2.1</v>
      </c>
      <c r="F49" s="19">
        <v>0</v>
      </c>
      <c r="G49" s="19">
        <v>5.3</v>
      </c>
      <c r="H49" s="19" t="s">
        <v>17</v>
      </c>
    </row>
    <row r="50" spans="1:8" x14ac:dyDescent="0.3">
      <c r="A50" s="2"/>
      <c r="B50" t="b">
        <f t="shared" si="0"/>
        <v>1</v>
      </c>
      <c r="C50" t="str">
        <f>H50</f>
        <v>Bar</v>
      </c>
      <c r="D50" s="7" t="str">
        <v>Bar</v>
      </c>
      <c r="F50" s="19">
        <v>1</v>
      </c>
      <c r="G50" s="19">
        <v>2.1</v>
      </c>
      <c r="H50" s="19" t="s">
        <v>18</v>
      </c>
    </row>
    <row r="51" spans="1:8" x14ac:dyDescent="0.3">
      <c r="A51" s="2"/>
    </row>
    <row r="52" spans="1:8" x14ac:dyDescent="0.3">
      <c r="A52" s="2" t="s">
        <v>39</v>
      </c>
      <c r="B52" t="b">
        <f>C52=D52</f>
        <v>1</v>
      </c>
      <c r="C52" s="3">
        <f>F52+1</f>
        <v>42737</v>
      </c>
      <c r="D52" s="8">
        <f>pyTestDate(F52)</f>
        <v>42737</v>
      </c>
      <c r="E52" s="14"/>
      <c r="F52" s="22">
        <v>42736</v>
      </c>
    </row>
    <row r="53" spans="1:8" x14ac:dyDescent="0.3">
      <c r="B53" t="b">
        <f>D53=C53</f>
        <v>1</v>
      </c>
      <c r="C53" s="3">
        <v>42768</v>
      </c>
      <c r="D53" s="8">
        <f>pyTestDate(F53)</f>
        <v>42768</v>
      </c>
      <c r="E53" s="14"/>
      <c r="F53" s="23" t="s">
        <v>40</v>
      </c>
    </row>
  </sheetData>
  <conditionalFormatting sqref="B4:B53">
    <cfRule type="expression" dxfId="0" priority="1">
      <formula>IFERROR(NOT(OR(ISBLANK(B4),B4)),TRUE)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E15"/>
  <sheetViews>
    <sheetView workbookViewId="0">
      <selection activeCell="D12" sqref="D12"/>
    </sheetView>
  </sheetViews>
  <sheetFormatPr defaultRowHeight="14.4" x14ac:dyDescent="0.3"/>
  <sheetData>
    <row r="2" spans="2:5" x14ac:dyDescent="0.3">
      <c r="B2" t="str">
        <f>_xll.xloRef(D2:E3)</f>
        <v>永[PythonTest.xlsm]Sheet2!R2C2_x0000__x0000__x0000__x0000_</v>
      </c>
      <c r="D2" t="s">
        <v>33</v>
      </c>
      <c r="E2" t="s">
        <v>30</v>
      </c>
    </row>
    <row r="3" spans="2:5" x14ac:dyDescent="0.3">
      <c r="D3" t="s">
        <v>31</v>
      </c>
      <c r="E3" t="s">
        <v>32</v>
      </c>
    </row>
    <row r="5" spans="2:5" x14ac:dyDescent="0.3">
      <c r="B5" t="str">
        <f>_xll.xloRef(D5:E6)</f>
        <v>永[PythonTest.xlsm]Sheet2!R5C2_x0000__x0000__x0000__x0000_</v>
      </c>
      <c r="D5" t="str">
        <f t="array" ref="D5:E6">_xll.xloVal(B2)</f>
        <v>X</v>
      </c>
      <c r="E5" t="str">
        <v>B</v>
      </c>
    </row>
    <row r="6" spans="2:5" x14ac:dyDescent="0.3">
      <c r="D6" t="str">
        <v>C</v>
      </c>
      <c r="E6" t="str">
        <v>D</v>
      </c>
    </row>
    <row r="8" spans="2:5" x14ac:dyDescent="0.3">
      <c r="D8" t="str">
        <f t="array" ref="D8:E9">_xll.xloVal($B$2)</f>
        <v>X</v>
      </c>
      <c r="E8" t="str">
        <v>B</v>
      </c>
    </row>
    <row r="9" spans="2:5" x14ac:dyDescent="0.3">
      <c r="D9" t="str">
        <v>C</v>
      </c>
      <c r="E9" t="str">
        <v>D</v>
      </c>
    </row>
    <row r="11" spans="2:5" x14ac:dyDescent="0.3">
      <c r="D11" t="str">
        <f t="array" ref="D11:E12">_xll.xloVal($B$2)</f>
        <v>X</v>
      </c>
      <c r="E11" t="str">
        <v>B</v>
      </c>
    </row>
    <row r="12" spans="2:5" x14ac:dyDescent="0.3">
      <c r="D12" t="str">
        <v>C</v>
      </c>
      <c r="E12" t="str">
        <v>D</v>
      </c>
    </row>
    <row r="14" spans="2:5" x14ac:dyDescent="0.3">
      <c r="D14" t="str">
        <f t="array" ref="D14:E15">_xll.xloVal($B$5)</f>
        <v>X</v>
      </c>
      <c r="E14" t="str">
        <v>B</v>
      </c>
    </row>
    <row r="15" spans="2:5" x14ac:dyDescent="0.3">
      <c r="D15" t="str">
        <v>C</v>
      </c>
      <c r="E15" t="str">
        <v>D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2020-05-06T20:10:53Z</dcterms:modified>
</cp:coreProperties>
</file>