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BC1F427F-BE82-464F-9464-26126AC4A7C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est1" sheetId="1" r:id="rId1"/>
  </sheets>
  <functionGroups builtInGroupCount="19"/>
  <definedNames>
    <definedName name="TestArea" localSheetId="0">Test1!$G$1:$J$3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C112" i="1"/>
  <c r="C98" i="1"/>
  <c r="C97" i="1"/>
  <c r="C106" i="1"/>
  <c r="C107" i="1" s="1"/>
  <c r="C108" i="1" s="1"/>
  <c r="C70" i="1"/>
  <c r="D1" i="1"/>
  <c r="D34" i="1"/>
  <c r="D33" i="1"/>
  <c r="D104" i="1"/>
  <c r="D98" i="1"/>
  <c r="D106" i="1"/>
  <c r="D93" i="1"/>
  <c r="D32" i="1"/>
  <c r="D110" i="1"/>
  <c r="D112" i="1"/>
  <c r="C101" i="1"/>
  <c r="D11" i="1"/>
  <c r="D94" i="1"/>
  <c r="D111" i="1"/>
  <c r="D108" i="1"/>
  <c r="D101" i="1"/>
  <c r="D97" i="1"/>
  <c r="D103" i="1"/>
  <c r="D107" i="1"/>
  <c r="B33" i="1" l="1"/>
  <c r="B112" i="1"/>
  <c r="C110" i="1"/>
  <c r="B110" i="1" s="1"/>
  <c r="B111" i="1"/>
  <c r="B98" i="1"/>
  <c r="B108" i="1"/>
  <c r="B97" i="1"/>
  <c r="B107" i="1"/>
  <c r="B106" i="1"/>
  <c r="B103" i="1"/>
  <c r="B104" i="1"/>
  <c r="B101" i="1"/>
  <c r="B93" i="1"/>
  <c r="C38" i="1"/>
  <c r="C44" i="1"/>
  <c r="D38" i="1"/>
  <c r="B38" i="1" l="1"/>
  <c r="H87" i="1"/>
  <c r="F87" i="1"/>
  <c r="D83" i="1"/>
  <c r="D81" i="1"/>
  <c r="D86" i="1" a="1"/>
  <c r="D88" i="1" l="1"/>
  <c r="D89" i="1"/>
  <c r="D90" i="1"/>
  <c r="D86" i="1"/>
  <c r="D87" i="1"/>
  <c r="B81" i="1"/>
  <c r="D27" i="1" a="1"/>
  <c r="D82" i="1"/>
  <c r="B86" i="1" l="1"/>
  <c r="D27" i="1"/>
  <c r="E28" i="1"/>
  <c r="B28" i="1" s="1"/>
  <c r="E27" i="1"/>
  <c r="B27" i="1" s="1"/>
  <c r="D28" i="1"/>
  <c r="E76" i="1"/>
  <c r="F76" i="1" s="1"/>
  <c r="G75" i="1"/>
  <c r="F75" i="1"/>
  <c r="E77" i="1" l="1"/>
  <c r="F77" i="1" s="1"/>
  <c r="G76" i="1"/>
  <c r="G77" i="1" l="1"/>
  <c r="E78" i="1"/>
  <c r="C69" i="1"/>
  <c r="D44" i="1"/>
  <c r="D31" i="1"/>
  <c r="C68" i="1"/>
  <c r="F78" i="1" l="1"/>
  <c r="G78" i="1"/>
  <c r="G79" i="1" s="1"/>
  <c r="C64" i="1"/>
  <c r="F79" i="1"/>
  <c r="E79" i="1"/>
  <c r="D65" i="1"/>
  <c r="D10" i="1"/>
  <c r="B73" i="1" l="1"/>
  <c r="B65" i="1"/>
  <c r="D64" i="1"/>
  <c r="D6" i="1"/>
  <c r="B64" i="1" l="1"/>
  <c r="C55" i="1"/>
  <c r="C54" i="1"/>
  <c r="C53" i="1"/>
  <c r="C50" i="1"/>
  <c r="C48" i="1"/>
  <c r="C31" i="1"/>
  <c r="C32" i="1" s="1"/>
  <c r="C23" i="1"/>
  <c r="C24" i="1" s="1"/>
  <c r="C19" i="1" a="1"/>
  <c r="C19" i="1" s="1"/>
  <c r="C16" i="1"/>
  <c r="C15" i="1"/>
  <c r="C17" i="1" s="1"/>
  <c r="D23" i="1"/>
  <c r="D17" i="1"/>
  <c r="D15" i="1"/>
  <c r="D19" i="1"/>
  <c r="C10" i="1"/>
  <c r="I53" i="1"/>
  <c r="D13" i="1"/>
  <c r="D36" i="1"/>
  <c r="D47" i="1"/>
  <c r="D20" i="1"/>
  <c r="D9" i="1"/>
  <c r="C42" i="1"/>
  <c r="I50" i="1"/>
  <c r="D48" i="1"/>
  <c r="D12" i="1"/>
  <c r="D16" i="1"/>
  <c r="D40" i="1"/>
  <c r="D7" i="1"/>
  <c r="D24" i="1"/>
  <c r="B10" i="1" l="1"/>
  <c r="B40" i="1"/>
  <c r="B23" i="1"/>
  <c r="B9" i="1"/>
  <c r="B15" i="1"/>
  <c r="B31" i="1"/>
  <c r="B47" i="1"/>
  <c r="B32" i="1"/>
  <c r="B11" i="1"/>
  <c r="B12" i="1"/>
  <c r="B6" i="1"/>
  <c r="B16" i="1"/>
  <c r="B7" i="1"/>
  <c r="B13" i="1"/>
  <c r="B20" i="1"/>
  <c r="B48" i="1"/>
  <c r="B19" i="1"/>
  <c r="B17" i="1"/>
  <c r="B24" i="1"/>
  <c r="B44" i="1"/>
  <c r="D50" i="1"/>
  <c r="D54" i="1" a="1"/>
  <c r="D53" i="1"/>
  <c r="D37" i="1"/>
  <c r="D57" i="1" a="1"/>
  <c r="D61" i="1" a="1"/>
  <c r="B3" i="1" l="1"/>
  <c r="F61" i="1"/>
  <c r="E62" i="1"/>
  <c r="F62" i="1"/>
  <c r="E61" i="1"/>
  <c r="D62" i="1"/>
  <c r="D61" i="1"/>
  <c r="F58" i="1"/>
  <c r="D59" i="1"/>
  <c r="D58" i="1"/>
  <c r="D57" i="1"/>
  <c r="F57" i="1"/>
  <c r="E58" i="1"/>
  <c r="F59" i="1"/>
  <c r="E57" i="1"/>
  <c r="E59" i="1"/>
  <c r="B50" i="1"/>
  <c r="D54" i="1"/>
  <c r="B54" i="1" s="1"/>
  <c r="D55" i="1"/>
  <c r="B55" i="1" s="1"/>
  <c r="B53" i="1"/>
  <c r="B37" i="1"/>
  <c r="B61" i="1" l="1" a="1"/>
  <c r="B61" i="1" s="1"/>
  <c r="B57" i="1" a="1"/>
  <c r="B57" i="1" s="1"/>
</calcChain>
</file>

<file path=xl/sharedStrings.xml><?xml version="1.0" encoding="utf-8"?>
<sst xmlns="http://schemas.openxmlformats.org/spreadsheetml/2006/main" count="82" uniqueCount="74">
  <si>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</si>
  <si>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</si>
  <si>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</si>
  <si>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</si>
  <si>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</si>
  <si>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</si>
  <si>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</si>
  <si>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</si>
  <si>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</si>
  <si>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</si>
  <si>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</si>
  <si>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</si>
  <si>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</si>
  <si>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</si>
  <si>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</si>
  <si>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</si>
  <si>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</si>
  <si>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</si>
  <si>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</si>
  <si>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</si>
  <si>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</si>
  <si>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</si>
  <si>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</si>
  <si>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</si>
  <si>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</si>
  <si>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</si>
  <si>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</si>
  <si>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</si>
  <si>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</si>
  <si>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</si>
  <si>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</si>
  <si>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</si>
  <si>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</si>
  <si>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</si>
  <si>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</si>
  <si>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</si>
  <si>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</si>
  <si>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</si>
  <si>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</si>
  <si>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</si>
  <si>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</si>
  <si>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</si>
  <si>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</si>
  <si>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</si>
  <si>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</si>
  <si>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</si>
  <si>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</si>
  <si>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</si>
  <si>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</si>
  <si>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</si>
  <si>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</si>
  <si>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</si>
  <si>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</si>
  <si>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</si>
  <si>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</si>
  <si>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</si>
  <si>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xloPyLoad</t>
  </si>
  <si>
    <t>Great Success!</t>
  </si>
  <si>
    <t>Test external module load</t>
  </si>
  <si>
    <t>pyTestDateConv</t>
  </si>
  <si>
    <t>pyTestToCache</t>
  </si>
  <si>
    <t>pyTestDynamic</t>
  </si>
  <si>
    <t>pyTestCaller</t>
  </si>
  <si>
    <t>pyTestWorkbooks</t>
  </si>
  <si>
    <t>FUNCTION TESTS</t>
  </si>
  <si>
    <t>MACRO TESTS</t>
  </si>
  <si>
    <t>pyTestExcelFunc</t>
  </si>
  <si>
    <t>pyTestRangeFormula</t>
  </si>
  <si>
    <t>pyTestAppRun</t>
  </si>
  <si>
    <t>Pythian</t>
  </si>
  <si>
    <t>OK</t>
  </si>
  <si>
    <t>pyTestRtdArray</t>
  </si>
  <si>
    <t>pyTestRtdManual</t>
  </si>
  <si>
    <t>Calc on Test1 finished at: 2022-01-27 01:27:42.243115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</si>
</sst>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  <xf numFmtId="0" fontId="0" fillId="0" borderId="0" xfId="0" quotePrefix="1"/>
    <xf numFmtId="0" fontId="0" fillId="0" borderId="0" xfId="0" applyNumberFormat="1" applyBorder="1"/>
    <xf numFmtId="0" fontId="0" fillId="0" borderId="0" xfId="0" quotePrefix="1" applyNumberFormat="1"/>
    <xf numFmtId="0" fontId="3" fillId="0" borderId="0" xfId="1"/>
    <xf numFmtId="0" fontId="0" fillId="2" borderId="0" xfId="0" applyFill="1" applyBorder="1"/>
    <xf numFmtId="0" fontId="0" fillId="0" borderId="0" xfId="0" applyNumberFormat="1"/>
    <xf numFmtId="0" fontId="0" fillId="0" borderId="0" xfId="0" applyNumberFormat="1" applyFill="1"/>
    <xf numFmtId="0" fontId="0" fillId="3" borderId="0" xfId="0" applyFill="1"/>
    <xf numFmtId="0" fontId="0" fillId="2" borderId="0" xfId="0" applyNumberFormat="1" applyFill="1"/>
    <xf numFmtId="0" fontId="0" fillId="0" borderId="0" xfId="0" quotePrefix="1" applyBorder="1"/>
    <xf numFmtId="0" fontId="1" fillId="0" borderId="0" xfId="0" quotePrefix="1" applyNumberFormat="1" applyFont="1"/>
    <xf numFmtId="0" fontId="0" fillId="0" borderId="1" xfId="0" applyBorder="1"/>
    <xf numFmtId="0" fontId="0" fillId="0" borderId="2" xfId="0" applyBorder="1"/>
    <xf numFmtId="0" fontId="0" fillId="0" borderId="3" xfId="0" applyFill="1" applyBorder="1"/>
    <xf numFmtId="0" fontId="0" fillId="0" borderId="4" xfId="0" applyFill="1" applyBorder="1"/>
  </cellXfs>
  <cellStyles count="2">
    <cellStyle name="Hyperlink" xfId="1" builtinId="8"/>
    <cellStyle name="Normal" xfId="0" builtinId="0"/>
  </cellStyles>
  <dxfs count="6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xloil.5a1645a2.a291.496f.a9c8.2ac48a7bac0b">
      <tp>
        <v>0</v>
        <stp/>
        <stp>{C059DE9C-BE9A-4799-8EB0-B1447297F852}</stp>
        <tr r="D1" s="1"/>
      </tp>
    </main>
    <main first="xloil.abe912c8.3c03.48d1.b15e.31217bf0712f">
      <tp>
        <v>0</v>
        <stp/>
        <stp>2.0</stp>
        <tr r="D34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ckchain.info/tobtc?currency=USD&amp;value=5000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112"/>
  <sheetViews>
    <sheetView showGridLines="0" tabSelected="1" workbookViewId="0">
      <selection activeCell="J12" sqref="J12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28.88671875" customWidth="1"/>
    <col min="4" max="4" width="18.21875" customWidth="1"/>
    <col min="5" max="5" width="11.44140625" style="12" customWidth="1"/>
    <col min="6" max="6" width="15" style="5" customWidth="1"/>
    <col min="7" max="7" width="10" style="5" bestFit="1" customWidth="1"/>
    <col min="8" max="8" width="15.88671875" style="5" customWidth="1"/>
    <col min="9" max="9" width="8.88671875" style="5"/>
  </cols>
  <sheetData>
    <row r="1" spans="1:11" x14ac:dyDescent="0.3">
      <c r="A1" s="6" t="s">
        <v>73</v>
      </c>
      <c r="B1" s="6"/>
      <c r="C1" s="6"/>
      <c r="D1" s="26">
        <f>pyTestAsyncGen(2)</f>
        <v>44588.060905402526</v>
      </c>
      <c r="F1" s="36"/>
      <c r="G1" t="s">
        <v>70</v>
      </c>
      <c r="H1" t="s">
        <v>69</v>
      </c>
      <c r="I1" t="s">
        <v>69</v>
      </c>
      <c r="J1" t="s">
        <v>69</v>
      </c>
      <c r="K1" s="38" t="s">
        <v>69</v>
      </c>
    </row>
    <row r="2" spans="1:11" x14ac:dyDescent="0.3">
      <c r="A2" s="26"/>
      <c r="B2" s="26"/>
      <c r="C2" s="26"/>
      <c r="D2" s="26"/>
      <c r="F2" s="36"/>
      <c r="G2"/>
      <c r="H2"/>
      <c r="I2"/>
      <c r="K2" s="38"/>
    </row>
    <row r="3" spans="1:11" x14ac:dyDescent="0.3">
      <c r="A3" s="34" t="s">
        <v>64</v>
      </c>
      <c r="B3" s="35" t="e">
        <f ca="1">AND(B6:B201)</f>
        <v>#VALUE!</v>
      </c>
      <c r="C3" s="34" t="s">
        <v>65</v>
      </c>
      <c r="D3" s="35" t="b">
        <f>G1="OK"</f>
        <v>1</v>
      </c>
      <c r="F3" s="36"/>
      <c r="G3"/>
      <c r="H3"/>
      <c r="I3"/>
      <c r="K3" s="38"/>
    </row>
    <row r="4" spans="1:11" x14ac:dyDescent="0.3">
      <c r="A4" s="17"/>
      <c r="B4" s="12"/>
      <c r="C4" s="12"/>
      <c r="G4" s="37"/>
      <c r="H4" s="37"/>
      <c r="I4" s="37"/>
      <c r="J4" s="37"/>
      <c r="K4" s="12"/>
    </row>
    <row r="5" spans="1:11" x14ac:dyDescent="0.3">
      <c r="A5" s="1" t="s">
        <v>38</v>
      </c>
      <c r="B5" s="1" t="s">
        <v>2</v>
      </c>
      <c r="C5" s="1" t="s">
        <v>13</v>
      </c>
      <c r="D5" s="1" t="s">
        <v>14</v>
      </c>
      <c r="E5" s="13"/>
      <c r="F5" s="11" t="s">
        <v>16</v>
      </c>
    </row>
    <row r="6" spans="1:11" x14ac:dyDescent="0.3">
      <c r="A6" s="2" t="s">
        <v>0</v>
      </c>
      <c r="B6" t="b">
        <f>C6=D6</f>
        <v>1</v>
      </c>
      <c r="C6">
        <v>6</v>
      </c>
      <c r="D6" s="7">
        <f>pySum(1,2,3)</f>
        <v>6</v>
      </c>
    </row>
    <row r="7" spans="1:11" x14ac:dyDescent="0.3">
      <c r="A7" s="2" t="s">
        <v>4</v>
      </c>
      <c r="B7" t="b">
        <f>NOT(ISERROR(FIND("Error",D7)))</f>
        <v>1</v>
      </c>
      <c r="C7" t="s">
        <v>15</v>
      </c>
      <c r="D7" s="10" t="str">
        <f>pySum(1,2)</f>
        <v>Error in arg 3 'z': Cannot convert : Unknown type</v>
      </c>
      <c r="H7" s="25"/>
    </row>
    <row r="8" spans="1:11" x14ac:dyDescent="0.3">
      <c r="A8" s="2"/>
      <c r="F8" s="33"/>
    </row>
    <row r="9" spans="1:11" x14ac:dyDescent="0.3">
      <c r="A9" s="2" t="s">
        <v>1</v>
      </c>
      <c r="B9" t="b">
        <f>C9=D9</f>
        <v>1</v>
      </c>
      <c r="C9">
        <v>9</v>
      </c>
      <c r="D9" s="7">
        <f>pySumNums(1,2,3)</f>
        <v>9</v>
      </c>
    </row>
    <row r="10" spans="1:11" x14ac:dyDescent="0.3">
      <c r="A10" s="2" t="s">
        <v>3</v>
      </c>
      <c r="B10" t="b">
        <f>NOT(ISERROR(FIND("Error",C10)))</f>
        <v>1</v>
      </c>
      <c r="C10" t="str">
        <f>pySumNums(1,2,3.2)</f>
        <v>Error in arg 3 'a': Cannot convert 3.2: Expected int</v>
      </c>
      <c r="D10" s="10" t="str">
        <f>pySumNums(1,2,3.2)</f>
        <v>Error in arg 3 'a': Cannot convert 3.2: Expected int</v>
      </c>
    </row>
    <row r="11" spans="1:11" x14ac:dyDescent="0.3">
      <c r="A11" s="2" t="s">
        <v>5</v>
      </c>
      <c r="B11" s="18" t="b">
        <f>D11=C11</f>
        <v>1</v>
      </c>
      <c r="C11">
        <v>3</v>
      </c>
      <c r="D11" s="7">
        <f>pyRoundTrip(C11)</f>
        <v>3</v>
      </c>
    </row>
    <row r="12" spans="1:11" x14ac:dyDescent="0.3">
      <c r="A12" s="2" t="s">
        <v>6</v>
      </c>
      <c r="B12" t="b">
        <f>D12=C12</f>
        <v>1</v>
      </c>
      <c r="C12">
        <v>3.3</v>
      </c>
      <c r="D12" s="7">
        <f>pyRoundTrip(C12)</f>
        <v>3.3</v>
      </c>
    </row>
    <row r="13" spans="1:11" x14ac:dyDescent="0.3">
      <c r="A13" s="2" t="s">
        <v>7</v>
      </c>
      <c r="B13" t="b">
        <f>D13=C13</f>
        <v>1</v>
      </c>
      <c r="C13" s="3">
        <v>42736</v>
      </c>
      <c r="D13" s="8">
        <f>pyRoundTrip(C13)</f>
        <v>42736</v>
      </c>
      <c r="E13" s="14"/>
    </row>
    <row r="14" spans="1:11" x14ac:dyDescent="0.3">
      <c r="A14" s="2"/>
      <c r="C14" s="3"/>
      <c r="D14" s="3"/>
      <c r="E14" s="14"/>
    </row>
    <row r="15" spans="1:11" x14ac:dyDescent="0.3">
      <c r="A15" s="2" t="s">
        <v>8</v>
      </c>
      <c r="B15" t="b">
        <f>C15=D15</f>
        <v>1</v>
      </c>
      <c r="C15">
        <f>SUM(F15:H15)</f>
        <v>6</v>
      </c>
      <c r="D15" s="7">
        <f>SUM(pyRoundTrip(F15:H15))</f>
        <v>6</v>
      </c>
      <c r="F15" s="19">
        <v>1</v>
      </c>
      <c r="G15" s="19">
        <v>2</v>
      </c>
      <c r="H15" s="19">
        <v>3</v>
      </c>
    </row>
    <row r="16" spans="1:11" x14ac:dyDescent="0.3">
      <c r="A16" s="2" t="s">
        <v>9</v>
      </c>
      <c r="B16" t="b">
        <f>ISNA(D16)</f>
        <v>1</v>
      </c>
      <c r="C16" t="e">
        <f>NA()</f>
        <v>#N/A</v>
      </c>
      <c r="D16" s="7" t="e">
        <f>(pyRoundTrip(F16:H16))</f>
        <v>#N/A</v>
      </c>
    </row>
    <row r="17" spans="1:9" x14ac:dyDescent="0.3">
      <c r="A17" s="2" t="s">
        <v>26</v>
      </c>
      <c r="B17" t="e">
        <f ca="1">C17=D17</f>
        <v>#VALUE!</v>
      </c>
      <c r="C17">
        <f>C15</f>
        <v>6</v>
      </c>
      <c r="D17" s="7" t="e">
        <f ca="1">SUM(pyRoundTrip(_xll.xloRef(F15:H15)))</f>
        <v>#VALUE!</v>
      </c>
    </row>
    <row r="19" spans="1:9" x14ac:dyDescent="0.3">
      <c r="A19" s="2" t="s">
        <v>10</v>
      </c>
      <c r="B19" t="b">
        <f>C19=D19</f>
        <v>1</v>
      </c>
      <c r="C19">
        <f t="array" ref="C19">SUM(G19:I19*F19)</f>
        <v>18.600000000000001</v>
      </c>
      <c r="D19" s="7">
        <f>SUM(pyTestArr1d(G19:I19,F19))</f>
        <v>18.600000000000001</v>
      </c>
      <c r="F19" s="19">
        <v>3.1</v>
      </c>
      <c r="G19" s="19">
        <v>1</v>
      </c>
      <c r="H19" s="19">
        <v>2</v>
      </c>
      <c r="I19" s="19">
        <v>3</v>
      </c>
    </row>
    <row r="20" spans="1:9" x14ac:dyDescent="0.3">
      <c r="A20" s="2" t="s">
        <v>11</v>
      </c>
      <c r="B20" t="b">
        <f>NOT(ISERROR(FIND("Error",D20)))</f>
        <v>1</v>
      </c>
      <c r="C20" t="s">
        <v>15</v>
      </c>
      <c r="D20" s="7" t="str">
        <f>pyTestArr1d(G20:I21,F20)</f>
        <v>Error in arg 1 'x': Failed reading [2 x 3]: Expecting a 1-dim array</v>
      </c>
      <c r="F20" s="19">
        <v>3.1</v>
      </c>
      <c r="G20" s="19">
        <v>1</v>
      </c>
      <c r="H20" s="19">
        <v>2</v>
      </c>
      <c r="I20" s="19">
        <v>3</v>
      </c>
    </row>
    <row r="21" spans="1:9" x14ac:dyDescent="0.3">
      <c r="F21" s="19"/>
      <c r="G21" s="19">
        <v>4</v>
      </c>
      <c r="H21" s="19">
        <v>5</v>
      </c>
      <c r="I21" s="19">
        <v>6</v>
      </c>
    </row>
    <row r="23" spans="1:9" x14ac:dyDescent="0.3">
      <c r="A23" s="2" t="s">
        <v>12</v>
      </c>
      <c r="B23" t="b">
        <f>C23=D23</f>
        <v>1</v>
      </c>
      <c r="C23">
        <f>SUM(F23:G24)</f>
        <v>10</v>
      </c>
      <c r="D23" s="7">
        <f>SUM(pyTestArr2d(F23:G24))</f>
        <v>10</v>
      </c>
      <c r="F23" s="19">
        <v>1</v>
      </c>
      <c r="G23" s="19">
        <v>2</v>
      </c>
    </row>
    <row r="24" spans="1:9" x14ac:dyDescent="0.3">
      <c r="A24" s="2" t="s">
        <v>27</v>
      </c>
      <c r="B24" t="e">
        <f ca="1">C24=D24</f>
        <v>#VALUE!</v>
      </c>
      <c r="C24">
        <f>C23</f>
        <v>10</v>
      </c>
      <c r="D24" s="7" t="e">
        <f ca="1">SUM(pyTestArr2d(_xll.xloRef(F23:G24)))</f>
        <v>#VALUE!</v>
      </c>
      <c r="F24" s="19">
        <v>3</v>
      </c>
      <c r="G24" s="19">
        <v>4</v>
      </c>
    </row>
    <row r="27" spans="1:9" x14ac:dyDescent="0.3">
      <c r="A27" s="2" t="s">
        <v>21</v>
      </c>
      <c r="B27" t="b">
        <f>H27=E27</f>
        <v>1</v>
      </c>
      <c r="D27" s="7" t="str">
        <f t="array" ref="D27:E28">pyTestKwargs(G27:H28)</f>
        <v>Foo</v>
      </c>
      <c r="E27" s="7" t="str">
        <v>dead</v>
      </c>
      <c r="G27" s="19" t="s">
        <v>17</v>
      </c>
      <c r="H27" s="19" t="s">
        <v>19</v>
      </c>
    </row>
    <row r="28" spans="1:9" x14ac:dyDescent="0.3">
      <c r="A28" s="2"/>
      <c r="B28" t="b">
        <f>E28=H28</f>
        <v>1</v>
      </c>
      <c r="D28" s="7" t="str">
        <v>Bar</v>
      </c>
      <c r="E28" s="7" t="str">
        <v>parrot</v>
      </c>
      <c r="G28" s="19" t="s">
        <v>18</v>
      </c>
      <c r="H28" s="19" t="s">
        <v>20</v>
      </c>
    </row>
    <row r="30" spans="1:9" x14ac:dyDescent="0.3">
      <c r="A30" s="2"/>
    </row>
    <row r="31" spans="1:9" x14ac:dyDescent="0.3">
      <c r="A31" s="2" t="s">
        <v>22</v>
      </c>
      <c r="B31" t="e">
        <f ca="1">C31=D31</f>
        <v>#VALUE!</v>
      </c>
      <c r="C31" t="str">
        <f>F31</f>
        <v>foo</v>
      </c>
      <c r="D31" s="9" t="e">
        <f ca="1">_xll.pyTestAsync(F31,1)</f>
        <v>#VALUE!</v>
      </c>
      <c r="E31" s="15"/>
      <c r="F31" s="19" t="s">
        <v>23</v>
      </c>
    </row>
    <row r="32" spans="1:9" x14ac:dyDescent="0.3">
      <c r="A32" s="2" t="s">
        <v>41</v>
      </c>
      <c r="B32" t="b">
        <f>C32=D32</f>
        <v>1</v>
      </c>
      <c r="C32" t="str">
        <f>C31</f>
        <v>foo</v>
      </c>
      <c r="D32" s="9" t="str">
        <f>pyTestAsyncRtd(F31,1)</f>
        <v>foo</v>
      </c>
    </row>
    <row r="33" spans="1:13" x14ac:dyDescent="0.3">
      <c r="A33" s="2" t="s">
        <v>71</v>
      </c>
      <c r="B33" t="b">
        <f>C33=D33</f>
        <v>1</v>
      </c>
      <c r="C33">
        <v>6</v>
      </c>
      <c r="D33" s="9">
        <f>pyRtdArray(F33:H33)</f>
        <v>6</v>
      </c>
      <c r="F33" s="5">
        <v>1</v>
      </c>
      <c r="G33" s="5">
        <v>2</v>
      </c>
      <c r="H33" s="5">
        <v>3</v>
      </c>
    </row>
    <row r="34" spans="1:13" x14ac:dyDescent="0.3">
      <c r="A34" s="2" t="s">
        <v>72</v>
      </c>
      <c r="D34" s="24">
        <f>pyTestRtdManual(2)</f>
        <v>44588.060881917001</v>
      </c>
    </row>
    <row r="35" spans="1:13" x14ac:dyDescent="0.3">
      <c r="D35" s="24"/>
    </row>
    <row r="36" spans="1:13" x14ac:dyDescent="0.3">
      <c r="A36" s="2" t="s">
        <v>25</v>
      </c>
      <c r="D36" s="5" t="str">
        <f>pyTestCache()</f>
        <v>欣[PythonTest.xlsm]Test1!R36C4CustomObj,A</v>
      </c>
    </row>
    <row r="37" spans="1:13" x14ac:dyDescent="0.3">
      <c r="B37" t="b">
        <f>C37=D37</f>
        <v>1</v>
      </c>
      <c r="C37" t="s">
        <v>24</v>
      </c>
      <c r="D37" s="7" t="str">
        <f>pyTestCache(D36)</f>
        <v>Hello world</v>
      </c>
      <c r="M37" s="5"/>
    </row>
    <row r="38" spans="1:13" x14ac:dyDescent="0.3">
      <c r="A38" s="2" t="s">
        <v>60</v>
      </c>
      <c r="B38" t="e">
        <f ca="1">INDEX(_xll.xloVal(D38),1,1)=C38</f>
        <v>#VALUE!</v>
      </c>
      <c r="C38" t="str">
        <f>G27</f>
        <v>Foo</v>
      </c>
      <c r="D38" s="7" t="str">
        <f>pyTestToCache(G27:H28)</f>
        <v>永[PythonTest.xlsm]Test1!R38C4,A</v>
      </c>
      <c r="M38" s="5"/>
    </row>
    <row r="39" spans="1:13" x14ac:dyDescent="0.3">
      <c r="M39" s="5"/>
    </row>
    <row r="40" spans="1:13" x14ac:dyDescent="0.3">
      <c r="A40" s="2" t="s">
        <v>28</v>
      </c>
      <c r="B40" t="b">
        <f>C40=D40</f>
        <v>1</v>
      </c>
      <c r="C40">
        <v>4</v>
      </c>
      <c r="D40" s="7">
        <f>SUM(pyTestIter(4,1))</f>
        <v>4</v>
      </c>
      <c r="M40" s="5"/>
    </row>
    <row r="41" spans="1:13" x14ac:dyDescent="0.3">
      <c r="M41" s="5"/>
    </row>
    <row r="42" spans="1:13" x14ac:dyDescent="0.3">
      <c r="A42" s="2" t="s">
        <v>39</v>
      </c>
      <c r="C42" t="str">
        <f>pyTestCom()</f>
        <v>{90160000-000F-0000-1000-0000000FF1CE}</v>
      </c>
      <c r="M42" s="5"/>
    </row>
    <row r="43" spans="1:13" x14ac:dyDescent="0.3">
      <c r="A43" s="2"/>
      <c r="M43" s="5"/>
    </row>
    <row r="44" spans="1:13" x14ac:dyDescent="0.3">
      <c r="A44" s="2" t="s">
        <v>40</v>
      </c>
      <c r="B44" t="b">
        <f ca="1">C44=D44</f>
        <v>1</v>
      </c>
      <c r="C44" s="4" t="str">
        <f ca="1">MID(CELL("filename"),FIND("[",CELL("filename")),100)&amp;"!"&amp;ADDRESS(ROW(G45),COLUMN(G45),4)</f>
        <v>[PythonTest.xlsm]Test1!G45</v>
      </c>
      <c r="D44" s="10" t="str">
        <f>pyTestRange(F44:G45)</f>
        <v>[PythonTest.xlsm]Test1!G45</v>
      </c>
      <c r="E44" s="16"/>
      <c r="F44" s="19">
        <v>1</v>
      </c>
      <c r="G44" s="19">
        <v>2</v>
      </c>
      <c r="M44" s="5"/>
    </row>
    <row r="45" spans="1:13" x14ac:dyDescent="0.3">
      <c r="A45" s="2"/>
      <c r="F45" s="19">
        <v>3</v>
      </c>
      <c r="G45" s="19">
        <v>4</v>
      </c>
      <c r="M45" s="5"/>
    </row>
    <row r="46" spans="1:13" x14ac:dyDescent="0.3">
      <c r="A46" s="2"/>
      <c r="M46" s="5"/>
    </row>
    <row r="47" spans="1:13" x14ac:dyDescent="0.3">
      <c r="A47" s="2" t="s">
        <v>31</v>
      </c>
      <c r="B47" t="b">
        <f>C47=D47</f>
        <v>1</v>
      </c>
      <c r="C47">
        <v>2</v>
      </c>
      <c r="D47" s="7">
        <f>pyTestCustomConv(1)</f>
        <v>2</v>
      </c>
    </row>
    <row r="48" spans="1:13" x14ac:dyDescent="0.3">
      <c r="A48" s="2"/>
      <c r="B48" t="b">
        <f>C48=D48</f>
        <v>1</v>
      </c>
      <c r="C48">
        <f>2*SUM(F48:G48)</f>
        <v>14</v>
      </c>
      <c r="D48" s="7">
        <f>SUM(pyTestCustomConv(F48:G48))</f>
        <v>14</v>
      </c>
      <c r="F48" s="19">
        <v>3</v>
      </c>
      <c r="G48" s="19">
        <v>4</v>
      </c>
    </row>
    <row r="49" spans="1:9" x14ac:dyDescent="0.3">
      <c r="A49" s="2"/>
    </row>
    <row r="50" spans="1:9" x14ac:dyDescent="0.3">
      <c r="A50" s="2" t="s">
        <v>33</v>
      </c>
      <c r="B50" t="b">
        <f>C50=D50</f>
        <v>1</v>
      </c>
      <c r="C50">
        <f>G51</f>
        <v>2</v>
      </c>
      <c r="D50" s="7">
        <f>pyTestFrameFetch(I50,,"B")</f>
        <v>2</v>
      </c>
      <c r="F50" s="20" t="s">
        <v>32</v>
      </c>
      <c r="G50" s="20" t="s">
        <v>29</v>
      </c>
      <c r="H50" s="20" t="s">
        <v>30</v>
      </c>
      <c r="I50" s="21" t="str">
        <f>pyTestDFrame(F50:H51)</f>
        <v>欣[PythonTest.xlsm]Test1!R50C9DataFrame,A</v>
      </c>
    </row>
    <row r="51" spans="1:9" x14ac:dyDescent="0.3">
      <c r="A51" s="2"/>
      <c r="F51" s="20">
        <v>1</v>
      </c>
      <c r="G51" s="20">
        <v>2</v>
      </c>
      <c r="H51" s="20">
        <v>3</v>
      </c>
    </row>
    <row r="52" spans="1:9" x14ac:dyDescent="0.3">
      <c r="A52" s="2"/>
    </row>
    <row r="53" spans="1:9" x14ac:dyDescent="0.3">
      <c r="A53" s="2" t="s">
        <v>34</v>
      </c>
      <c r="B53" t="b">
        <f>C53=D53</f>
        <v>1</v>
      </c>
      <c r="C53" t="str">
        <f>H54</f>
        <v>Foo</v>
      </c>
      <c r="D53" s="7" t="str">
        <f>pyTestFrameFetch(I53,0,"B")</f>
        <v>Foo</v>
      </c>
      <c r="F53" s="19" t="s">
        <v>35</v>
      </c>
      <c r="G53" s="19" t="s">
        <v>32</v>
      </c>
      <c r="H53" s="19" t="s">
        <v>29</v>
      </c>
      <c r="I53" s="21" t="str">
        <f>pyTestDFrameIndex(F53:H55)</f>
        <v>欣[PythonTest.xlsm]Test1!R53C9,A</v>
      </c>
    </row>
    <row r="54" spans="1:9" x14ac:dyDescent="0.3">
      <c r="A54" s="2"/>
      <c r="B54" t="b">
        <f t="shared" ref="B54:B55" si="0">C54=D54</f>
        <v>1</v>
      </c>
      <c r="C54">
        <f>G55</f>
        <v>2.1</v>
      </c>
      <c r="D54" s="7">
        <f t="array" ref="D54:D55">pyTestFrameFetch(I53,1)</f>
        <v>2.1</v>
      </c>
      <c r="F54" s="19">
        <v>0</v>
      </c>
      <c r="G54" s="19">
        <v>5.3</v>
      </c>
      <c r="H54" s="19" t="s">
        <v>17</v>
      </c>
    </row>
    <row r="55" spans="1:9" x14ac:dyDescent="0.3">
      <c r="A55" s="2"/>
      <c r="B55" t="b">
        <f t="shared" si="0"/>
        <v>1</v>
      </c>
      <c r="C55" t="str">
        <f>H55</f>
        <v>Bar</v>
      </c>
      <c r="D55" s="7" t="str">
        <v>Bar</v>
      </c>
      <c r="F55" s="19">
        <v>1</v>
      </c>
      <c r="G55" s="19">
        <v>2.1</v>
      </c>
      <c r="H55" s="19" t="s">
        <v>18</v>
      </c>
    </row>
    <row r="56" spans="1:9" x14ac:dyDescent="0.3">
      <c r="A56" s="2"/>
    </row>
    <row r="57" spans="1:9" x14ac:dyDescent="0.3">
      <c r="A57" s="2" t="s">
        <v>55</v>
      </c>
      <c r="B57" t="b">
        <f t="array" ref="B57">SUM((D57:F59=F53:H55)+0)=9</f>
        <v>1</v>
      </c>
      <c r="D57" s="7" t="str">
        <f t="array" ref="D57:F59">pyTestFrameFetch(I53)</f>
        <v>Time</v>
      </c>
      <c r="E57" s="7" t="str">
        <v>A</v>
      </c>
      <c r="F57" s="28" t="str">
        <v>B</v>
      </c>
    </row>
    <row r="58" spans="1:9" x14ac:dyDescent="0.3">
      <c r="D58" s="7">
        <v>0</v>
      </c>
      <c r="E58" s="7">
        <v>5.3</v>
      </c>
      <c r="F58" s="28" t="str">
        <v>Foo</v>
      </c>
    </row>
    <row r="59" spans="1:9" x14ac:dyDescent="0.3">
      <c r="D59" s="7">
        <v>1</v>
      </c>
      <c r="E59" s="7">
        <v>2.1</v>
      </c>
      <c r="F59" s="28" t="str">
        <v>Bar</v>
      </c>
    </row>
    <row r="60" spans="1:9" x14ac:dyDescent="0.3">
      <c r="E60"/>
      <c r="F60"/>
    </row>
    <row r="61" spans="1:9" x14ac:dyDescent="0.3">
      <c r="B61" t="b">
        <f t="array" ref="B61">SUM((D61:F62=F53:H54)+0)=6</f>
        <v>1</v>
      </c>
      <c r="D61" s="7" t="str">
        <f t="array" ref="D61:F62">pyTestFrameWrite(I53)</f>
        <v>Time</v>
      </c>
      <c r="E61" s="7" t="str">
        <v>A</v>
      </c>
      <c r="F61" s="28" t="str">
        <v>B</v>
      </c>
    </row>
    <row r="62" spans="1:9" x14ac:dyDescent="0.3">
      <c r="D62" s="7">
        <v>0</v>
      </c>
      <c r="E62" s="7">
        <v>5.3</v>
      </c>
      <c r="F62" s="7" t="str">
        <v>Foo</v>
      </c>
    </row>
    <row r="64" spans="1:9" x14ac:dyDescent="0.3">
      <c r="A64" s="2" t="s">
        <v>36</v>
      </c>
      <c r="B64" t="b">
        <f>C64=D64</f>
        <v>1</v>
      </c>
      <c r="C64" s="3">
        <f>F64+1</f>
        <v>42737</v>
      </c>
      <c r="D64" s="8">
        <f>pyTestDate(F64)</f>
        <v>42737</v>
      </c>
      <c r="E64" s="14"/>
      <c r="F64" s="22">
        <v>42736</v>
      </c>
    </row>
    <row r="65" spans="1:7" x14ac:dyDescent="0.3">
      <c r="B65" t="b">
        <f>D65=C65</f>
        <v>1</v>
      </c>
      <c r="C65" s="3">
        <v>42768</v>
      </c>
      <c r="D65" s="8">
        <f>pyTestDate(F65)</f>
        <v>42768</v>
      </c>
      <c r="E65" s="14"/>
      <c r="F65" s="23" t="s">
        <v>37</v>
      </c>
    </row>
    <row r="68" spans="1:7" x14ac:dyDescent="0.3">
      <c r="A68" s="2" t="s">
        <v>44</v>
      </c>
      <c r="C68" s="24" t="e">
        <f ca="1">_xll.pyGetUrl(D68)</f>
        <v>#VALUE!</v>
      </c>
      <c r="D68" t="s">
        <v>42</v>
      </c>
    </row>
    <row r="69" spans="1:7" x14ac:dyDescent="0.3">
      <c r="A69" s="5"/>
      <c r="C69" s="24" t="e">
        <f ca="1">_xll.pyGetUrl(D69)</f>
        <v>#VALUE!</v>
      </c>
      <c r="D69" t="s">
        <v>43</v>
      </c>
    </row>
    <row r="70" spans="1:7" x14ac:dyDescent="0.3">
      <c r="A70" s="2" t="s">
        <v>46</v>
      </c>
      <c r="C70" s="24" t="e">
        <f ca="1">_xll.pyGetUrlLive(D70)</f>
        <v>#NAME?</v>
      </c>
      <c r="D70" s="27" t="s">
        <v>45</v>
      </c>
    </row>
    <row r="73" spans="1:7" x14ac:dyDescent="0.3">
      <c r="A73" s="2" t="s">
        <v>47</v>
      </c>
      <c r="B73" t="e">
        <f ca="1">E79&lt;&gt;F79</f>
        <v>#VALUE!</v>
      </c>
      <c r="C73" s="12"/>
      <c r="D73" t="s">
        <v>48</v>
      </c>
      <c r="E73" s="5">
        <v>3</v>
      </c>
      <c r="F73" s="5">
        <v>1</v>
      </c>
      <c r="G73" s="5">
        <v>4</v>
      </c>
    </row>
    <row r="74" spans="1:7" x14ac:dyDescent="0.3">
      <c r="A74" t="s">
        <v>54</v>
      </c>
      <c r="C74" s="12"/>
      <c r="D74" t="s">
        <v>49</v>
      </c>
      <c r="E74" s="5">
        <v>3</v>
      </c>
      <c r="F74" s="5">
        <v>2</v>
      </c>
      <c r="G74" s="5">
        <v>7</v>
      </c>
    </row>
    <row r="75" spans="1:7" x14ac:dyDescent="0.3">
      <c r="C75" s="12"/>
      <c r="D75" t="s">
        <v>50</v>
      </c>
      <c r="E75" s="5">
        <v>500</v>
      </c>
      <c r="F75" s="5">
        <f>E75</f>
        <v>500</v>
      </c>
      <c r="G75" s="5">
        <f>E75</f>
        <v>500</v>
      </c>
    </row>
    <row r="76" spans="1:7" x14ac:dyDescent="0.3">
      <c r="C76" s="12"/>
      <c r="D76" t="s">
        <v>51</v>
      </c>
      <c r="E76" s="5">
        <f>E75</f>
        <v>500</v>
      </c>
      <c r="F76" s="5">
        <f t="shared" ref="F76:F78" si="1">E76</f>
        <v>500</v>
      </c>
      <c r="G76" s="5">
        <f t="shared" ref="G76:G78" si="2">E76</f>
        <v>500</v>
      </c>
    </row>
    <row r="77" spans="1:7" x14ac:dyDescent="0.3">
      <c r="C77" s="12"/>
      <c r="D77" t="s">
        <v>52</v>
      </c>
      <c r="E77" s="5">
        <f>E76</f>
        <v>500</v>
      </c>
      <c r="F77" s="5">
        <f t="shared" si="1"/>
        <v>500</v>
      </c>
      <c r="G77" s="5">
        <f t="shared" si="2"/>
        <v>500</v>
      </c>
    </row>
    <row r="78" spans="1:7" x14ac:dyDescent="0.3">
      <c r="C78" s="12"/>
      <c r="D78" t="s">
        <v>53</v>
      </c>
      <c r="E78" s="5">
        <f>E77</f>
        <v>500</v>
      </c>
      <c r="F78" s="5">
        <f t="shared" si="1"/>
        <v>500</v>
      </c>
      <c r="G78" s="5">
        <f t="shared" si="2"/>
        <v>500</v>
      </c>
    </row>
    <row r="79" spans="1:7" x14ac:dyDescent="0.3">
      <c r="E79" s="7" t="e">
        <f ca="1">_xll.pyThreadTest(E73,E74,E75,E76,E77,E78)</f>
        <v>#VALUE!</v>
      </c>
      <c r="F79" s="7" t="e">
        <f ca="1">_xll.pyThreadTest(F73,F74,F75,F76,F77,F78)</f>
        <v>#VALUE!</v>
      </c>
      <c r="G79" s="7" t="e">
        <f ca="1">_xll.pyThreadTest(G73,G74,G75,G76,G77,G78)</f>
        <v>#VALUE!</v>
      </c>
    </row>
    <row r="81" spans="1:8" x14ac:dyDescent="0.3">
      <c r="A81" s="2" t="s">
        <v>56</v>
      </c>
      <c r="B81" t="e">
        <f ca="1">C81=D83</f>
        <v>#VALUE!</v>
      </c>
      <c r="C81" t="s">
        <v>57</v>
      </c>
      <c r="D81" t="str">
        <f>pyWbPath()</f>
        <v>C:\Users\Steven\dev\xloil\tests\python</v>
      </c>
    </row>
    <row r="82" spans="1:8" x14ac:dyDescent="0.3">
      <c r="A82" t="s">
        <v>58</v>
      </c>
      <c r="D82" t="e">
        <f ca="1">_xll.xloPyLoad(D81&amp;"\TestModule.py")</f>
        <v>#VALUE!</v>
      </c>
    </row>
    <row r="83" spans="1:8" x14ac:dyDescent="0.3">
      <c r="D83" s="7" t="e">
        <f ca="1">_xll.pyTestLoadMod()</f>
        <v>#VALUE!</v>
      </c>
    </row>
    <row r="86" spans="1:8" x14ac:dyDescent="0.3">
      <c r="A86" s="2" t="s">
        <v>59</v>
      </c>
      <c r="B86" t="b">
        <f>AND(D86=F86+1, D87=G86+1, D88=H86+1,D89=F87+1,D90=G87+1)</f>
        <v>1</v>
      </c>
      <c r="D86" s="28">
        <f t="array" ref="D86:D90">pyTestDateConv(F86:H87)</f>
        <v>43001</v>
      </c>
      <c r="F86" s="31">
        <v>43000</v>
      </c>
      <c r="G86" s="31">
        <v>44000</v>
      </c>
      <c r="H86" s="31">
        <v>45000.66</v>
      </c>
    </row>
    <row r="87" spans="1:8" x14ac:dyDescent="0.3">
      <c r="D87" s="7">
        <v>44001</v>
      </c>
      <c r="F87" s="31">
        <f>G86</f>
        <v>44000</v>
      </c>
      <c r="G87" s="31">
        <v>37000</v>
      </c>
      <c r="H87" s="31">
        <f>H86</f>
        <v>45000.66</v>
      </c>
    </row>
    <row r="88" spans="1:8" x14ac:dyDescent="0.3">
      <c r="D88" s="7">
        <v>45001.66</v>
      </c>
    </row>
    <row r="89" spans="1:8" x14ac:dyDescent="0.3">
      <c r="D89" s="7">
        <v>44001</v>
      </c>
    </row>
    <row r="90" spans="1:8" x14ac:dyDescent="0.3">
      <c r="C90" s="29"/>
      <c r="D90" s="32">
        <v>37001</v>
      </c>
      <c r="E90" s="30"/>
    </row>
    <row r="91" spans="1:8" x14ac:dyDescent="0.3">
      <c r="C91" s="29"/>
      <c r="D91" s="29"/>
      <c r="E91" s="30"/>
    </row>
    <row r="92" spans="1:8" x14ac:dyDescent="0.3">
      <c r="A92" t="s">
        <v>61</v>
      </c>
      <c r="C92" s="29"/>
      <c r="D92" s="29"/>
      <c r="E92" s="30"/>
    </row>
    <row r="93" spans="1:8" x14ac:dyDescent="0.3">
      <c r="B93" t="b">
        <f>C93:C94=D93:D94</f>
        <v>1</v>
      </c>
      <c r="C93" s="29">
        <v>0</v>
      </c>
      <c r="D93" s="32">
        <f>pyTestDynamic0()</f>
        <v>0</v>
      </c>
      <c r="E93" s="30"/>
    </row>
    <row r="94" spans="1:8" x14ac:dyDescent="0.3">
      <c r="C94" s="29">
        <v>2</v>
      </c>
      <c r="D94" s="32">
        <f>pyTestDynamic2()</f>
        <v>2</v>
      </c>
      <c r="E94" s="30"/>
    </row>
    <row r="95" spans="1:8" x14ac:dyDescent="0.3">
      <c r="C95" s="29"/>
      <c r="D95" s="29"/>
      <c r="E95" s="30"/>
    </row>
    <row r="97" spans="1:4" x14ac:dyDescent="0.3">
      <c r="A97" t="s">
        <v>62</v>
      </c>
      <c r="B97" t="b">
        <f>C97=D97</f>
        <v>1</v>
      </c>
      <c r="C97" s="4" t="str">
        <f>"[PythonTest.xlsm]Test1!R"&amp;ROW(D97)&amp;"C"&amp;COLUMN(D97)</f>
        <v>[PythonTest.xlsm]Test1!R97C4</v>
      </c>
      <c r="D97" s="7" t="str">
        <f>pyTestCaller()</f>
        <v>[PythonTest.xlsm]Test1!R97C4</v>
      </c>
    </row>
    <row r="98" spans="1:4" x14ac:dyDescent="0.3">
      <c r="B98" t="b">
        <f>C98=D98</f>
        <v>1</v>
      </c>
      <c r="C98" s="4" t="str">
        <f>"[PythonTest.xlsm]Test1!R"&amp;ROW(D98)&amp;"C"&amp;COLUMN(D98)</f>
        <v>[PythonTest.xlsm]Test1!R98C4</v>
      </c>
      <c r="D98" s="7" t="str">
        <f>pyTestCaller()</f>
        <v>[PythonTest.xlsm]Test1!R98C4</v>
      </c>
    </row>
    <row r="101" spans="1:4" x14ac:dyDescent="0.3">
      <c r="A101" s="2" t="s">
        <v>63</v>
      </c>
      <c r="B101" t="b">
        <f>C101=D101</f>
        <v>1</v>
      </c>
      <c r="C101" t="str">
        <f>pyTestWorkbooks()</f>
        <v>PythonTest.xlsm</v>
      </c>
      <c r="D101" s="7" t="str">
        <f>pyTestWorkbooks()</f>
        <v>PythonTest.xlsm</v>
      </c>
    </row>
    <row r="103" spans="1:4" x14ac:dyDescent="0.3">
      <c r="A103" s="2" t="s">
        <v>66</v>
      </c>
      <c r="B103" t="b">
        <f>C103=D103</f>
        <v>1</v>
      </c>
      <c r="C103">
        <v>6</v>
      </c>
      <c r="D103" s="28">
        <f>pyTestExcelCallAsync(1,2,3)</f>
        <v>6</v>
      </c>
    </row>
    <row r="104" spans="1:4" x14ac:dyDescent="0.3">
      <c r="B104" t="b">
        <f>C104=D104</f>
        <v>1</v>
      </c>
      <c r="C104">
        <v>6</v>
      </c>
      <c r="D104" s="28">
        <f>pyTestExcelCall("sum",1,2,3)</f>
        <v>6</v>
      </c>
    </row>
    <row r="106" spans="1:4" x14ac:dyDescent="0.3">
      <c r="A106" s="2" t="s">
        <v>67</v>
      </c>
      <c r="B106" t="b">
        <f ca="1">C106=D106</f>
        <v>1</v>
      </c>
      <c r="C106" t="str">
        <f ca="1">"="&amp;SUBSTITUTE(CELL("address",C103)&amp;"="&amp;CELL("address",D103),"$","")</f>
        <v>=C103=D103</v>
      </c>
      <c r="D106" s="28" t="str">
        <f>pyTestExcelCall("getcell",6,B103)</f>
        <v>=C103=D103</v>
      </c>
    </row>
    <row r="107" spans="1:4" x14ac:dyDescent="0.3">
      <c r="B107" t="e">
        <f t="shared" ref="B107:B111" ca="1" si="3">C107=D107</f>
        <v>#VALUE!</v>
      </c>
      <c r="C107" t="str">
        <f ca="1">C106</f>
        <v>=C103=D103</v>
      </c>
      <c r="D107" s="28" t="e">
        <f ca="1">_xll.pyTestRangeFormula2(B103)</f>
        <v>#VALUE!</v>
      </c>
    </row>
    <row r="108" spans="1:4" x14ac:dyDescent="0.3">
      <c r="B108" t="b">
        <f t="shared" ca="1" si="3"/>
        <v>1</v>
      </c>
      <c r="C108" t="str">
        <f ca="1">C107</f>
        <v>=C103=D103</v>
      </c>
      <c r="D108" s="28" t="str">
        <f>pyTestRangeFormula(B103)</f>
        <v>=C103=D103</v>
      </c>
    </row>
    <row r="110" spans="1:4" x14ac:dyDescent="0.3">
      <c r="A110" s="2" t="s">
        <v>68</v>
      </c>
      <c r="B110" t="b">
        <f t="shared" si="3"/>
        <v>1</v>
      </c>
      <c r="C110" t="str">
        <f>C101</f>
        <v>PythonTest.xlsm</v>
      </c>
      <c r="D110" s="28" t="str">
        <f>pyTestAppRun("pyTestWorkbooks")</f>
        <v>PythonTest.xlsm</v>
      </c>
    </row>
    <row r="111" spans="1:4" x14ac:dyDescent="0.3">
      <c r="B111" t="b">
        <f t="shared" si="3"/>
        <v>1</v>
      </c>
      <c r="C111">
        <v>6</v>
      </c>
      <c r="D111" s="28">
        <f>pyTestAppRun("pySum",1,2,3)</f>
        <v>6</v>
      </c>
    </row>
    <row r="112" spans="1:4" x14ac:dyDescent="0.3">
      <c r="B112" t="b">
        <f ca="1">C112=D112</f>
        <v>1</v>
      </c>
      <c r="C112" t="str">
        <f ca="1">MID(CELL("filename"),FIND("[",CELL("filename")),100)&amp;"!"&amp;ADDRESS(ROW(E111),COLUMN(E111),4)</f>
        <v>[PythonTest.xlsm]Test1!E111</v>
      </c>
      <c r="D112" s="28" t="str">
        <f>pyTestAppRun("pyTestRange", D110)</f>
        <v>[PythonTest.xlsm]Test1!E111</v>
      </c>
    </row>
  </sheetData>
  <conditionalFormatting sqref="B6:B54">
    <cfRule type="expression" dxfId="5" priority="9">
      <formula>IFERROR(NOT(OR(ISBLANK(B6),B6)),TRUE)</formula>
    </cfRule>
  </conditionalFormatting>
  <conditionalFormatting sqref="B3">
    <cfRule type="expression" dxfId="4" priority="5">
      <formula>IFERROR(NOT(OR(ISBLANK(B3),B3)),TRUE)</formula>
    </cfRule>
  </conditionalFormatting>
  <conditionalFormatting sqref="D3">
    <cfRule type="expression" dxfId="3" priority="4">
      <formula>IFERROR(NOT(OR(ISBLANK(D3),D3)),TRUE)</formula>
    </cfRule>
  </conditionalFormatting>
  <conditionalFormatting sqref="B55:B104">
    <cfRule type="expression" dxfId="2" priority="3">
      <formula>IFERROR(NOT(OR(ISBLANK(B55),B55)),TRUE)</formula>
    </cfRule>
  </conditionalFormatting>
  <conditionalFormatting sqref="B106:B108">
    <cfRule type="expression" dxfId="1" priority="2">
      <formula>IFERROR(NOT(OR(ISBLANK(B106),B106)),TRUE)</formula>
    </cfRule>
  </conditionalFormatting>
  <conditionalFormatting sqref="B110:B112">
    <cfRule type="expression" dxfId="0" priority="1">
      <formula>IFERROR(NOT(OR(ISBLANK(B110),B110)),TRUE)</formula>
    </cfRule>
  </conditionalFormatting>
  <hyperlinks>
    <hyperlink ref="D70" r:id="rId1" xr:uid="{A15C8238-108A-441A-953F-6F26ED6EC331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Test1</vt:lpstr>
      <vt:lpstr>Test1!TestArea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2022-01-27T01:27:43Z</dcterms:modified>
</cp:coreProperties>
</file>